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C:\Users\victorf2\Box\Dairy_inbreeding\"/>
    </mc:Choice>
  </mc:AlternateContent>
  <xr:revisionPtr revIDLastSave="0" documentId="13_ncr:1_{DC5508CB-FADB-4539-A051-605FA6DDE650}" xr6:coauthVersionLast="47" xr6:coauthVersionMax="47" xr10:uidLastSave="{00000000-0000-0000-0000-000000000000}"/>
  <bookViews>
    <workbookView xWindow="-28920" yWindow="-75" windowWidth="29040" windowHeight="17520" tabRatio="837" xr2:uid="{00000000-000D-0000-FFFF-FFFF00000000}"/>
  </bookViews>
  <sheets>
    <sheet name="MPRDFAC" sheetId="1" r:id="rId1"/>
  </sheets>
  <definedNames>
    <definedName name="OUTPUT">MPRDFAC!$A$1:$I$105</definedName>
    <definedName name="_xlnm.Print_Area" localSheetId="0">MPRDFAC!$A$1:$N$55</definedName>
    <definedName name="_xlnm.Print_Titles" localSheetId="0">MPRDFAC!$1:$4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26" i="1" l="1"/>
  <c r="R26" i="1" s="1"/>
  <c r="Q27" i="1"/>
  <c r="R27" i="1" s="1"/>
  <c r="Q28" i="1"/>
  <c r="Q29" i="1"/>
  <c r="Q30" i="1"/>
  <c r="Q31" i="1"/>
  <c r="Q32" i="1"/>
  <c r="Q33" i="1"/>
  <c r="Q34" i="1"/>
  <c r="Q35" i="1"/>
  <c r="Q36" i="1"/>
  <c r="Q37" i="1"/>
  <c r="Q38" i="1"/>
  <c r="Q39" i="1"/>
  <c r="Q40" i="1"/>
  <c r="R40" i="1" s="1"/>
  <c r="Q41" i="1"/>
  <c r="R41" i="1" s="1"/>
  <c r="Q42" i="1"/>
  <c r="R42" i="1" s="1"/>
  <c r="Q43" i="1"/>
  <c r="R43" i="1" s="1"/>
  <c r="Q44" i="1"/>
  <c r="Q45" i="1"/>
  <c r="Q46" i="1"/>
  <c r="Q47" i="1"/>
  <c r="Q25" i="1"/>
  <c r="R25" i="1" s="1"/>
  <c r="R28" i="1"/>
  <c r="R29" i="1"/>
  <c r="R31" i="1"/>
  <c r="R32" i="1"/>
  <c r="R33" i="1"/>
  <c r="R35" i="1"/>
  <c r="R36" i="1"/>
  <c r="R37" i="1"/>
  <c r="R38" i="1"/>
  <c r="R44" i="1"/>
  <c r="R45" i="1"/>
  <c r="R30" i="1"/>
  <c r="R34" i="1"/>
  <c r="R39" i="1"/>
  <c r="R46" i="1"/>
  <c r="R47" i="1"/>
  <c r="T35" i="1" l="1"/>
  <c r="U30" i="1"/>
  <c r="U2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7593F3-6D9E-4FDB-8168-6E893A026ACC}" keepAlive="1" name="Query - UDM_Report_Agricultural_Prices_Annual" description="Connection to the 'UDM_Report_Agricultural_Prices_Annual' query in the workbook." type="5" refreshedVersion="6" background="1">
    <dbPr connection="Provider=Microsoft.Mashup.OleDb.1;Data Source=$Workbook$;Location=UDM_Report_Agricultural_Prices_Annual;Extended Properties=&quot;&quot;" command="SELECT * FROM [UDM_Report_Agricultural_Prices_Annual]"/>
  </connection>
  <connection id="2" xr16:uid="{1098AE66-4457-4157-B1C7-E809DEC236C2}" keepAlive="1" name="Query - UDM_Report_Agricultural_Prices_Monthly" description="Connection to the 'UDM_Report_Agricultural_Prices_Monthly' query in the workbook." type="5" refreshedVersion="8" background="1" saveData="1">
    <dbPr connection="Provider=Microsoft.Mashup.OleDb.1;Data Source=$Workbook$;Location=UDM_Report_Agricultural_Prices_Monthly;Extended Properties=&quot;&quot;" command="SELECT * FROM [UDM_Report_Agricultural_Prices_Monthly]"/>
  </connection>
  <connection id="3" xr16:uid="{B5EFF593-BF34-4D74-98BC-6CF8C2586FD5}" keepAlive="1" name="Query - UDM_Report_Cattle_Annual" description="Connection to the 'UDM_Report_Cattle_Annual' query in the workbook." type="5" refreshedVersion="8" background="1" saveData="1">
    <dbPr connection="Provider=Microsoft.Mashup.OleDb.1;Data Source=$Workbook$;Location=UDM_Report_Cattle_Annual;Extended Properties=&quot;&quot;" command="SELECT * FROM [UDM_Report_Cattle_Annual]"/>
  </connection>
  <connection id="4" xr16:uid="{BF26FB51-B4B9-4154-A041-323291BDCA69}" keepAlive="1" name="Query - UDM_Report_Livestock_Slaughter_Annual" description="Connection to the 'UDM_Report_Livestock_Slaughter_Annual' query in the workbook." type="5" refreshedVersion="6" background="1">
    <dbPr connection="Provider=Microsoft.Mashup.OleDb.1;Data Source=$Workbook$;Location=UDM_Report_Livestock_Slaughter_Annual;Extended Properties=&quot;&quot;" command="SELECT * FROM [UDM_Report_Livestock_Slaughter_Annual]"/>
  </connection>
  <connection id="5" xr16:uid="{E61DCC90-68C1-4E7B-B86C-26952E4C8C41}" keepAlive="1" name="Query - UDM_Report_Milk_Production_Annual" description="Connection to the 'UDM_Report_Milk_Production_Annual' query in the workbook." type="5" refreshedVersion="8" background="1" saveData="1">
    <dbPr connection="Provider=Microsoft.Mashup.OleDb.1;Data Source=$Workbook$;Location=UDM_Report_Milk_Production_Annual;Extended Properties=&quot;&quot;" command="SELECT * FROM [UDM_Report_Milk_Production_Annual]"/>
  </connection>
  <connection id="6" xr16:uid="{A6C2F45A-6010-420D-9F49-D4536075FD0A}" keepAlive="1" name="Query - UDM_Report_Milk_Production_Disposition_and_Income_Annual_Panel" description="Connection to the 'UDM_Report_Milk_Production_Disposition_and_Income_Annual_Panel' query in the workbook." type="5" refreshedVersion="6" background="1">
    <dbPr connection="Provider=Microsoft.Mashup.OleDb.1;Data Source=$Workbook$;Location=UDM_Report_Milk_Production_Disposition_and_Income_Annual_Panel;Extended Properties=&quot;&quot;" command="SELECT * FROM [UDM_Report_Milk_Production_Disposition_and_Income_Annual_Panel]"/>
  </connection>
</connections>
</file>

<file path=xl/sharedStrings.xml><?xml version="1.0" encoding="utf-8"?>
<sst xmlns="http://schemas.openxmlformats.org/spreadsheetml/2006/main" count="40" uniqueCount="37">
  <si>
    <t xml:space="preserve"> January 1 inventory</t>
  </si>
  <si>
    <t>Year</t>
  </si>
  <si>
    <t>Milk cow cost</t>
  </si>
  <si>
    <t>Milk cows and heifers that have calved</t>
  </si>
  <si>
    <t>Replace-ments per 100 cows</t>
  </si>
  <si>
    <t>Milk per cow</t>
  </si>
  <si>
    <t>Milk volume required to buy a cow</t>
  </si>
  <si>
    <t>Price</t>
  </si>
  <si>
    <t>Milk production</t>
  </si>
  <si>
    <t>Average number of milk cows in the United States</t>
  </si>
  <si>
    <t>Thousand</t>
  </si>
  <si>
    <t>Pounds</t>
  </si>
  <si>
    <t>Million pounds</t>
  </si>
  <si>
    <t>Dollars per cwt</t>
  </si>
  <si>
    <t>Dollars per head</t>
  </si>
  <si>
    <t>Dollars per ton</t>
  </si>
  <si>
    <t xml:space="preserve">Dollars per cwt </t>
  </si>
  <si>
    <t>Source: USDA, Economic Research Service using USDA, NASS data; and USDA, Agricultural Marketing Service data.</t>
  </si>
  <si>
    <t>Last updated: 5/1/2023</t>
  </si>
  <si>
    <t>Annual milk production and factors affecting supply</t>
  </si>
  <si>
    <t>Replace-ment heifers, 500+ pounds</t>
  </si>
  <si>
    <r>
      <t>Average price paid for milk</t>
    </r>
    <r>
      <rPr>
        <vertAlign val="superscript"/>
        <sz val="10"/>
        <rFont val="Arial"/>
        <family val="2"/>
      </rPr>
      <t>1</t>
    </r>
  </si>
  <si>
    <r>
      <t>Dairy ration value</t>
    </r>
    <r>
      <rPr>
        <vertAlign val="superscript"/>
        <sz val="10"/>
        <rFont val="Arial"/>
        <family val="2"/>
      </rPr>
      <t>2</t>
    </r>
  </si>
  <si>
    <r>
      <t>Milk-feed ratio</t>
    </r>
    <r>
      <rPr>
        <vertAlign val="superscript"/>
        <sz val="10"/>
        <rFont val="Arial"/>
        <family val="2"/>
      </rPr>
      <t>3</t>
    </r>
  </si>
  <si>
    <r>
      <t>Alfalfa hay price received by farmers</t>
    </r>
    <r>
      <rPr>
        <vertAlign val="superscript"/>
        <sz val="10"/>
        <rFont val="Arial"/>
        <family val="2"/>
      </rPr>
      <t>4</t>
    </r>
  </si>
  <si>
    <r>
      <t>Slaughter cow 
price</t>
    </r>
    <r>
      <rPr>
        <vertAlign val="superscript"/>
        <sz val="10"/>
        <rFont val="Arial"/>
        <family val="2"/>
      </rPr>
      <t>5</t>
    </r>
  </si>
  <si>
    <r>
      <rPr>
        <vertAlign val="superscript"/>
        <sz val="10"/>
        <rFont val="Arial"/>
        <family val="2"/>
      </rPr>
      <t xml:space="preserve"> </t>
    </r>
    <r>
      <rPr>
        <sz val="10"/>
        <rFont val="Arial"/>
        <family val="2"/>
      </rPr>
      <t>cwt = Hundredweight.</t>
    </r>
  </si>
  <si>
    <r>
      <rPr>
        <vertAlign val="superscript"/>
        <sz val="10"/>
        <rFont val="Arial"/>
        <family val="2"/>
      </rPr>
      <t>1</t>
    </r>
    <r>
      <rPr>
        <sz val="10"/>
        <rFont val="Arial"/>
        <family val="2"/>
      </rPr>
      <t>For the all-milk price, calendar-year averages are reported in this table. These differ from annual marketing year averages reported by USDA, National Agricultural Statistics Service (NASS) for years prior to 1996. For years prior to 1996, all-milk prices are rounded to the nearest 10 cents to be consistent with USDA, NASS reporting since 1996.</t>
    </r>
  </si>
  <si>
    <r>
      <rPr>
        <vertAlign val="superscript"/>
        <sz val="10"/>
        <rFont val="Arial"/>
        <family val="2"/>
      </rPr>
      <t>2</t>
    </r>
    <r>
      <rPr>
        <sz val="10"/>
        <rFont val="Arial"/>
        <family val="2"/>
      </rPr>
      <t>Price of 16-percent protein mixed dairy feed. The modeled feed uses 51 percent corn, 41 percent alfalfa hay, and 8 percent soybeans.</t>
    </r>
  </si>
  <si>
    <r>
      <rPr>
        <vertAlign val="superscript"/>
        <sz val="10"/>
        <rFont val="Arial"/>
        <family val="2"/>
      </rPr>
      <t>3</t>
    </r>
    <r>
      <rPr>
        <sz val="10"/>
        <rFont val="Arial"/>
        <family val="2"/>
      </rPr>
      <t>Pounds of 16-percent dairy feed equal in value to 1 pound of milk. For years after 1983, milk-feed ratio values in this table match those reported by USDA, NASS. For years prior to 1984, USDA, NASS uses a different method for computing the milk-feed ratio. In this table, the same method is used for all years in order to provide a consistent data series. Computations using the rounded milk prices and feed values in this table may not equal annual reported average milk-feed ratios because of rounding.</t>
    </r>
  </si>
  <si>
    <r>
      <rPr>
        <vertAlign val="superscript"/>
        <sz val="10"/>
        <rFont val="Arial"/>
        <family val="2"/>
      </rPr>
      <t>4</t>
    </r>
    <r>
      <rPr>
        <sz val="10"/>
        <rFont val="Arial"/>
        <family val="2"/>
      </rPr>
      <t>Calendar year average prices are provided in this table for alfalfa hay. These differ from marketing year averages reported by USDA, NASS.</t>
    </r>
  </si>
  <si>
    <r>
      <rPr>
        <vertAlign val="superscript"/>
        <sz val="10"/>
        <rFont val="Arial"/>
        <family val="2"/>
      </rPr>
      <t>5</t>
    </r>
    <r>
      <rPr>
        <sz val="10"/>
        <rFont val="Arial"/>
        <family val="2"/>
      </rPr>
      <t>Utility grade, Omaha, NE 1965–87; Wisconsin auctions, 1988–2009; South St. Paul, MN auctions, 2000–2008. For years after 2008, a slaughter price for live cull cows is not available; therefore, the national price for dressed domestic cutter cows (90 percent lean, 500 pounds and up) is multiplied by 49.5 percent to estimate a live equivalent price.</t>
    </r>
  </si>
  <si>
    <t>2011-19</t>
  </si>
  <si>
    <t>Income (dollars)</t>
  </si>
  <si>
    <t>Income (billion USD)</t>
  </si>
  <si>
    <t>Cost (billions)</t>
  </si>
  <si>
    <t>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</si>
</sst>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_)"/>
    <numFmt numFmtId="167" formatCode="_(&quot;$&quot;* #,##0_);_(&quot;$&quot;* \(#,##0\);_(&quot;$&quot;* &quot;-&quot;??_);_(@_)"/>
  </numFmts>
  <fonts count="7">
    <font>
      <sz val="12"/>
      <name val="Arial MT"/>
    </font>
    <font>
      <sz val="10"/>
      <name val="Arial"/>
      <family val="2"/>
    </font>
    <font>
      <u/>
      <sz val="10"/>
      <name val="Arial"/>
      <family val="2"/>
    </font>
    <font>
      <b/>
      <sz val="10"/>
      <name val="Arial"/>
      <family val="2"/>
    </font>
    <font>
      <i/>
      <sz val="10"/>
      <name val="Arial"/>
      <family val="2"/>
    </font>
    <font>
      <vertAlign val="superscript"/>
      <sz val="10"/>
      <name val="Arial"/>
      <family val="2"/>
    </font>
    <font>
      <sz val="12"/>
      <name val="Arial MT"/>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8"/>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8"/>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top style="thin">
        <color indexed="8"/>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85">
    <xf numFmtId="0" fontId="0" fillId="0" borderId="0" xfId="0"/>
    <xf numFmtId="0" fontId="1" fillId="0" borderId="1" xfId="0" applyFont="1" applyBorder="1"/>
    <xf numFmtId="0" fontId="2" fillId="0" borderId="1" xfId="0" applyFont="1" applyBorder="1"/>
    <xf numFmtId="0" fontId="1" fillId="0" borderId="0" xfId="0" applyFont="1"/>
    <xf numFmtId="2" fontId="1" fillId="0" borderId="0" xfId="0" applyNumberFormat="1" applyFont="1" applyAlignment="1">
      <alignment horizontal="center"/>
    </xf>
    <xf numFmtId="37" fontId="1" fillId="0" borderId="6" xfId="0" applyNumberFormat="1" applyFont="1" applyBorder="1" applyAlignment="1">
      <alignment horizontal="center"/>
    </xf>
    <xf numFmtId="37" fontId="1" fillId="0" borderId="0" xfId="0" applyNumberFormat="1" applyFont="1" applyAlignment="1">
      <alignment horizontal="center"/>
    </xf>
    <xf numFmtId="164" fontId="1" fillId="0" borderId="0" xfId="0" applyNumberFormat="1" applyFont="1" applyAlignment="1">
      <alignment horizontal="center"/>
    </xf>
    <xf numFmtId="37" fontId="1" fillId="0" borderId="8" xfId="0" applyNumberFormat="1" applyFont="1" applyBorder="1" applyAlignment="1">
      <alignment horizontal="center"/>
    </xf>
    <xf numFmtId="37" fontId="1" fillId="0" borderId="2" xfId="0" applyNumberFormat="1" applyFont="1" applyBorder="1" applyAlignment="1">
      <alignment horizontal="center"/>
    </xf>
    <xf numFmtId="37" fontId="1" fillId="0" borderId="1" xfId="0" applyNumberFormat="1" applyFont="1" applyBorder="1" applyAlignment="1">
      <alignment horizontal="center"/>
    </xf>
    <xf numFmtId="2" fontId="1" fillId="0" borderId="1" xfId="0" applyNumberFormat="1" applyFont="1" applyBorder="1" applyAlignment="1">
      <alignment horizontal="center"/>
    </xf>
    <xf numFmtId="2" fontId="1" fillId="0" borderId="6" xfId="0" applyNumberFormat="1" applyFont="1" applyBorder="1" applyAlignment="1">
      <alignment horizontal="center"/>
    </xf>
    <xf numFmtId="2" fontId="1" fillId="0" borderId="2" xfId="0" applyNumberFormat="1" applyFont="1" applyBorder="1" applyAlignment="1">
      <alignment horizontal="center"/>
    </xf>
    <xf numFmtId="39" fontId="1" fillId="0" borderId="6" xfId="0" applyNumberFormat="1" applyFont="1" applyBorder="1" applyAlignment="1">
      <alignment horizontal="center"/>
    </xf>
    <xf numFmtId="0" fontId="3" fillId="0" borderId="1" xfId="0" quotePrefix="1" applyFont="1" applyBorder="1" applyAlignment="1">
      <alignment horizontal="left"/>
    </xf>
    <xf numFmtId="0" fontId="2" fillId="0" borderId="0" xfId="0" applyFont="1"/>
    <xf numFmtId="164" fontId="1" fillId="0" borderId="1" xfId="0" applyNumberFormat="1" applyFont="1" applyBorder="1" applyAlignment="1">
      <alignment horizontal="center"/>
    </xf>
    <xf numFmtId="3" fontId="1" fillId="0" borderId="9" xfId="0" applyNumberFormat="1" applyFont="1" applyBorder="1" applyAlignment="1">
      <alignment horizontal="center"/>
    </xf>
    <xf numFmtId="39" fontId="1" fillId="0" borderId="2" xfId="0" applyNumberFormat="1" applyFont="1" applyBorder="1" applyAlignment="1">
      <alignment horizontal="center"/>
    </xf>
    <xf numFmtId="0" fontId="1" fillId="0" borderId="3" xfId="0" applyFont="1" applyBorder="1" applyAlignment="1">
      <alignment horizontal="center" wrapText="1"/>
    </xf>
    <xf numFmtId="0" fontId="1" fillId="0" borderId="12" xfId="0" applyFont="1" applyBorder="1" applyAlignment="1">
      <alignment horizontal="center" wrapText="1"/>
    </xf>
    <xf numFmtId="0" fontId="1" fillId="0" borderId="13" xfId="0" applyFont="1" applyBorder="1" applyAlignment="1">
      <alignment horizontal="center" wrapText="1"/>
    </xf>
    <xf numFmtId="0" fontId="1" fillId="0" borderId="14" xfId="0" applyFont="1" applyBorder="1" applyAlignment="1">
      <alignment horizontal="center" wrapText="1"/>
    </xf>
    <xf numFmtId="37" fontId="1" fillId="0" borderId="9" xfId="0" applyNumberFormat="1" applyFont="1" applyBorder="1" applyAlignment="1">
      <alignment horizontal="center"/>
    </xf>
    <xf numFmtId="0" fontId="1" fillId="0" borderId="0" xfId="0" applyFont="1" applyAlignment="1">
      <alignment horizontal="right" indent="1"/>
    </xf>
    <xf numFmtId="0" fontId="1" fillId="0" borderId="1" xfId="0" applyFont="1" applyBorder="1" applyAlignment="1">
      <alignment horizontal="right" indent="1"/>
    </xf>
    <xf numFmtId="0" fontId="1" fillId="0" borderId="0" xfId="0" quotePrefix="1" applyFont="1" applyAlignment="1">
      <alignment horizontal="right" indent="1"/>
    </xf>
    <xf numFmtId="0" fontId="1" fillId="0" borderId="1" xfId="0" quotePrefix="1" applyFont="1" applyBorder="1" applyAlignment="1">
      <alignment horizontal="right" indent="1"/>
    </xf>
    <xf numFmtId="0" fontId="4" fillId="0" borderId="3"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3" fontId="1" fillId="0" borderId="8" xfId="0" applyNumberFormat="1" applyFont="1" applyBorder="1" applyAlignment="1">
      <alignment horizontal="center"/>
    </xf>
    <xf numFmtId="3" fontId="1" fillId="0" borderId="0" xfId="0" applyNumberFormat="1" applyFont="1" applyAlignment="1">
      <alignment horizontal="center"/>
    </xf>
    <xf numFmtId="2" fontId="1" fillId="0" borderId="19" xfId="0" applyNumberFormat="1" applyFont="1" applyBorder="1" applyAlignment="1">
      <alignment horizontal="center"/>
    </xf>
    <xf numFmtId="0" fontId="1" fillId="0" borderId="8" xfId="0" quotePrefix="1" applyFont="1" applyBorder="1" applyAlignment="1">
      <alignment horizontal="right" indent="1"/>
    </xf>
    <xf numFmtId="164" fontId="1" fillId="0" borderId="8" xfId="0" applyNumberFormat="1" applyFont="1" applyBorder="1" applyAlignment="1">
      <alignment horizontal="center"/>
    </xf>
    <xf numFmtId="2" fontId="1" fillId="0" borderId="8" xfId="0" applyNumberFormat="1" applyFont="1" applyBorder="1" applyAlignment="1">
      <alignment horizontal="center"/>
    </xf>
    <xf numFmtId="39" fontId="1" fillId="0" borderId="0" xfId="0" applyNumberFormat="1" applyFont="1" applyAlignment="1">
      <alignment horizontal="center"/>
    </xf>
    <xf numFmtId="0" fontId="4" fillId="0" borderId="3" xfId="0" quotePrefix="1" applyFont="1" applyBorder="1" applyAlignment="1">
      <alignment horizontal="center" vertical="center" wrapText="1"/>
    </xf>
    <xf numFmtId="0" fontId="4" fillId="0" borderId="15" xfId="0" quotePrefix="1" applyFont="1" applyBorder="1" applyAlignment="1">
      <alignment horizontal="center" vertical="center" wrapText="1"/>
    </xf>
    <xf numFmtId="0" fontId="4" fillId="0" borderId="16" xfId="0" quotePrefix="1" applyFont="1" applyBorder="1" applyAlignment="1">
      <alignment horizontal="center" vertical="center" wrapText="1"/>
    </xf>
    <xf numFmtId="164" fontId="1" fillId="0" borderId="9" xfId="0" applyNumberFormat="1" applyFont="1" applyBorder="1" applyAlignment="1">
      <alignment horizontal="center"/>
    </xf>
    <xf numFmtId="2" fontId="1" fillId="0" borderId="9" xfId="0" applyNumberFormat="1" applyFont="1" applyBorder="1" applyAlignment="1">
      <alignment horizontal="center"/>
    </xf>
    <xf numFmtId="2" fontId="1" fillId="0" borderId="18" xfId="0" applyNumberFormat="1" applyFont="1" applyBorder="1" applyAlignment="1">
      <alignment horizontal="center"/>
    </xf>
    <xf numFmtId="3" fontId="1" fillId="0" borderId="1" xfId="0" applyNumberFormat="1" applyFont="1" applyBorder="1" applyAlignment="1">
      <alignment horizontal="center"/>
    </xf>
    <xf numFmtId="39" fontId="1" fillId="0" borderId="1" xfId="0" applyNumberFormat="1" applyFont="1" applyBorder="1" applyAlignment="1">
      <alignment horizontal="center"/>
    </xf>
    <xf numFmtId="0" fontId="1" fillId="0" borderId="4" xfId="0" quotePrefix="1" applyFont="1" applyBorder="1" applyAlignment="1">
      <alignment horizontal="right" indent="1"/>
    </xf>
    <xf numFmtId="37" fontId="1" fillId="0" borderId="10" xfId="0" applyNumberFormat="1" applyFont="1" applyBorder="1" applyAlignment="1">
      <alignment horizontal="center"/>
    </xf>
    <xf numFmtId="37" fontId="1" fillId="0" borderId="4" xfId="0" applyNumberFormat="1" applyFont="1" applyBorder="1" applyAlignment="1">
      <alignment horizontal="center"/>
    </xf>
    <xf numFmtId="164" fontId="1" fillId="0" borderId="7" xfId="0" applyNumberFormat="1" applyFont="1" applyBorder="1" applyAlignment="1">
      <alignment horizontal="center"/>
    </xf>
    <xf numFmtId="2" fontId="1" fillId="0" borderId="10" xfId="0" applyNumberFormat="1" applyFont="1" applyBorder="1" applyAlignment="1">
      <alignment horizontal="center"/>
    </xf>
    <xf numFmtId="2" fontId="1" fillId="0" borderId="4" xfId="0" applyNumberFormat="1" applyFont="1" applyBorder="1" applyAlignment="1">
      <alignment horizontal="center"/>
    </xf>
    <xf numFmtId="2" fontId="1" fillId="0" borderId="7" xfId="0" applyNumberFormat="1" applyFont="1" applyBorder="1" applyAlignment="1">
      <alignment horizontal="center"/>
    </xf>
    <xf numFmtId="3" fontId="1" fillId="0" borderId="7" xfId="0" applyNumberFormat="1" applyFont="1" applyBorder="1" applyAlignment="1">
      <alignment horizontal="center"/>
    </xf>
    <xf numFmtId="2" fontId="1" fillId="0" borderId="17" xfId="0" applyNumberFormat="1" applyFont="1" applyBorder="1" applyAlignment="1">
      <alignment horizontal="center"/>
    </xf>
    <xf numFmtId="39" fontId="1" fillId="0" borderId="10" xfId="0" applyNumberFormat="1" applyFont="1" applyBorder="1" applyAlignment="1">
      <alignment horizontal="center"/>
    </xf>
    <xf numFmtId="14" fontId="1" fillId="0" borderId="0" xfId="0" applyNumberFormat="1" applyFont="1"/>
    <xf numFmtId="0" fontId="1" fillId="0" borderId="10" xfId="0" applyFont="1" applyBorder="1" applyAlignment="1">
      <alignment horizontal="center" wrapText="1"/>
    </xf>
    <xf numFmtId="0" fontId="0" fillId="0" borderId="4" xfId="0" applyBorder="1" applyAlignment="1">
      <alignment horizontal="center" wrapText="1"/>
    </xf>
    <xf numFmtId="0" fontId="0" fillId="0" borderId="2" xfId="0" applyBorder="1" applyAlignment="1">
      <alignment wrapText="1"/>
    </xf>
    <xf numFmtId="0" fontId="1" fillId="0" borderId="4" xfId="0" applyFont="1" applyBorder="1" applyAlignment="1">
      <alignment horizontal="center" wrapText="1"/>
    </xf>
    <xf numFmtId="0" fontId="0" fillId="0" borderId="1" xfId="0" applyBorder="1" applyAlignment="1">
      <alignment horizontal="center" wrapText="1"/>
    </xf>
    <xf numFmtId="0" fontId="1" fillId="0" borderId="7" xfId="0" applyFont="1" applyBorder="1" applyAlignment="1">
      <alignment horizontal="center" wrapText="1"/>
    </xf>
    <xf numFmtId="0" fontId="0" fillId="0" borderId="9" xfId="0" applyBorder="1" applyAlignment="1">
      <alignment horizontal="center" wrapText="1"/>
    </xf>
    <xf numFmtId="0" fontId="1" fillId="0" borderId="0" xfId="0" applyFont="1" applyAlignment="1">
      <alignment wrapText="1"/>
    </xf>
    <xf numFmtId="0" fontId="0" fillId="0" borderId="0" xfId="0" applyAlignment="1">
      <alignment wrapText="1"/>
    </xf>
    <xf numFmtId="0" fontId="1" fillId="0" borderId="0" xfId="0" quotePrefix="1" applyFont="1" applyAlignment="1">
      <alignment horizontal="left" wrapText="1"/>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2" xfId="0" applyFont="1" applyBorder="1" applyAlignment="1">
      <alignment horizontal="center" wrapText="1"/>
    </xf>
    <xf numFmtId="0" fontId="1" fillId="0" borderId="1" xfId="0" applyFont="1" applyBorder="1" applyAlignment="1">
      <alignment horizontal="center" wrapText="1"/>
    </xf>
    <xf numFmtId="0" fontId="1" fillId="0" borderId="9" xfId="0" applyFont="1" applyBorder="1" applyAlignment="1">
      <alignment horizontal="center" wrapText="1"/>
    </xf>
    <xf numFmtId="0" fontId="1" fillId="0" borderId="17" xfId="0" applyFont="1" applyBorder="1" applyAlignment="1">
      <alignment horizontal="center" wrapText="1"/>
    </xf>
    <xf numFmtId="0" fontId="1" fillId="0" borderId="18" xfId="0" applyFont="1" applyBorder="1" applyAlignment="1">
      <alignment horizontal="center" wrapText="1"/>
    </xf>
    <xf numFmtId="0" fontId="1" fillId="0" borderId="5" xfId="0" applyFont="1" applyBorder="1" applyAlignment="1">
      <alignment horizontal="center"/>
    </xf>
    <xf numFmtId="0" fontId="1" fillId="0" borderId="11" xfId="0" applyFont="1" applyBorder="1" applyAlignment="1">
      <alignment horizontal="center"/>
    </xf>
    <xf numFmtId="0" fontId="4" fillId="0" borderId="3" xfId="0" quotePrefix="1" applyFont="1" applyBorder="1" applyAlignment="1">
      <alignment horizontal="center" vertical="center" wrapText="1"/>
    </xf>
    <xf numFmtId="0" fontId="4" fillId="0" borderId="15" xfId="0" quotePrefix="1" applyFont="1" applyBorder="1" applyAlignment="1">
      <alignment horizontal="center" vertical="center" wrapText="1"/>
    </xf>
    <xf numFmtId="0" fontId="4" fillId="0" borderId="16" xfId="0" quotePrefix="1" applyFont="1" applyBorder="1" applyAlignment="1">
      <alignment horizontal="center" vertical="center" wrapText="1"/>
    </xf>
    <xf numFmtId="44" fontId="1" fillId="0" borderId="0" xfId="1" applyFont="1"/>
    <xf numFmtId="44" fontId="1" fillId="0" borderId="0" xfId="0" applyNumberFormat="1" applyFont="1"/>
    <xf numFmtId="10" fontId="1" fillId="0" borderId="0" xfId="2" applyNumberFormat="1" applyFont="1"/>
    <xf numFmtId="167" fontId="1" fillId="0" borderId="0" xfId="1" applyNumberFormat="1" applyFont="1"/>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codeName="Sheet1"/>
  <dimension ref="A1:U55"/>
  <sheetViews>
    <sheetView tabSelected="1" zoomScaleNormal="100" workbookViewId="0">
      <pane ySplit="4" topLeftCell="A20" activePane="bottomLeft" state="frozen"/>
      <selection pane="bottomLeft" activeCell="U44" sqref="U44"/>
    </sheetView>
  </sheetViews>
  <sheetFormatPr defaultColWidth="8.77734375" defaultRowHeight="15" customHeight="1"/>
  <cols>
    <col min="1" max="1" width="6.44140625" style="3" customWidth="1"/>
    <col min="2" max="2" width="6.77734375" style="3" customWidth="1"/>
    <col min="3" max="3" width="7.44140625" style="3" customWidth="1"/>
    <col min="4" max="4" width="6.77734375" style="3" customWidth="1"/>
    <col min="5" max="5" width="7.77734375" style="3" customWidth="1"/>
    <col min="6" max="6" width="6.21875" style="3" customWidth="1"/>
    <col min="7" max="7" width="7.77734375" style="3" customWidth="1"/>
    <col min="8" max="8" width="7.21875" style="3" customWidth="1"/>
    <col min="9" max="9" width="6.21875" style="3" customWidth="1"/>
    <col min="10" max="10" width="6.77734375" style="3" customWidth="1"/>
    <col min="11" max="11" width="7.44140625" style="3" customWidth="1"/>
    <col min="12" max="12" width="7.77734375" style="3" customWidth="1"/>
    <col min="13" max="13" width="8.5546875" style="3" customWidth="1"/>
    <col min="14" max="14" width="8.109375" style="3" customWidth="1"/>
    <col min="15" max="16" width="8.77734375" style="3"/>
    <col min="17" max="17" width="14.44140625" style="3" bestFit="1" customWidth="1"/>
    <col min="18" max="18" width="14" style="3" bestFit="1" customWidth="1"/>
    <col min="19" max="16384" width="8.77734375" style="3"/>
  </cols>
  <sheetData>
    <row r="1" spans="1:14" ht="15" customHeight="1">
      <c r="A1" s="15" t="s">
        <v>19</v>
      </c>
      <c r="B1" s="1"/>
      <c r="C1" s="1"/>
      <c r="D1" s="2"/>
      <c r="E1" s="16"/>
      <c r="H1" s="1"/>
      <c r="I1" s="1"/>
      <c r="J1" s="1"/>
      <c r="K1" s="1"/>
      <c r="L1" s="1"/>
      <c r="M1" s="1"/>
      <c r="N1" s="1"/>
    </row>
    <row r="2" spans="1:14" ht="15" customHeight="1">
      <c r="A2" s="68" t="s">
        <v>1</v>
      </c>
      <c r="B2" s="58" t="s">
        <v>0</v>
      </c>
      <c r="C2" s="59"/>
      <c r="D2" s="59"/>
      <c r="E2" s="58" t="s">
        <v>9</v>
      </c>
      <c r="F2" s="61" t="s">
        <v>5</v>
      </c>
      <c r="G2" s="63" t="s">
        <v>8</v>
      </c>
      <c r="H2" s="58" t="s">
        <v>21</v>
      </c>
      <c r="I2" s="61" t="s">
        <v>22</v>
      </c>
      <c r="J2" s="63" t="s">
        <v>23</v>
      </c>
      <c r="K2" s="76" t="s">
        <v>2</v>
      </c>
      <c r="L2" s="77"/>
      <c r="M2" s="74" t="s">
        <v>24</v>
      </c>
      <c r="N2" s="58" t="s">
        <v>25</v>
      </c>
    </row>
    <row r="3" spans="1:14" ht="81.75" customHeight="1">
      <c r="A3" s="69"/>
      <c r="B3" s="20" t="s">
        <v>3</v>
      </c>
      <c r="C3" s="21" t="s">
        <v>20</v>
      </c>
      <c r="D3" s="21" t="s">
        <v>4</v>
      </c>
      <c r="E3" s="60"/>
      <c r="F3" s="62"/>
      <c r="G3" s="64"/>
      <c r="H3" s="71"/>
      <c r="I3" s="72"/>
      <c r="J3" s="73"/>
      <c r="K3" s="23" t="s">
        <v>7</v>
      </c>
      <c r="L3" s="22" t="s">
        <v>6</v>
      </c>
      <c r="M3" s="75"/>
      <c r="N3" s="71"/>
    </row>
    <row r="4" spans="1:14" ht="27.75" customHeight="1">
      <c r="A4" s="70"/>
      <c r="B4" s="78" t="s">
        <v>10</v>
      </c>
      <c r="C4" s="79"/>
      <c r="D4" s="80"/>
      <c r="E4" s="29" t="s">
        <v>10</v>
      </c>
      <c r="F4" s="30" t="s">
        <v>11</v>
      </c>
      <c r="G4" s="31" t="s">
        <v>12</v>
      </c>
      <c r="H4" s="40" t="s">
        <v>16</v>
      </c>
      <c r="I4" s="40" t="s">
        <v>13</v>
      </c>
      <c r="J4" s="30"/>
      <c r="K4" s="39" t="s">
        <v>14</v>
      </c>
      <c r="L4" s="41" t="s">
        <v>11</v>
      </c>
      <c r="M4" s="29" t="s">
        <v>15</v>
      </c>
      <c r="N4" s="39" t="s">
        <v>13</v>
      </c>
    </row>
    <row r="5" spans="1:14" ht="15" customHeight="1">
      <c r="A5" s="25">
        <v>1980</v>
      </c>
      <c r="B5" s="5">
        <v>10849</v>
      </c>
      <c r="C5" s="6">
        <v>4341.6000000000004</v>
      </c>
      <c r="D5" s="7">
        <v>40.018434878790679</v>
      </c>
      <c r="E5" s="5">
        <v>10799</v>
      </c>
      <c r="F5" s="6">
        <v>11891</v>
      </c>
      <c r="G5" s="8">
        <v>128406</v>
      </c>
      <c r="H5" s="4">
        <v>13</v>
      </c>
      <c r="I5" s="4">
        <v>4.8373566666666665</v>
      </c>
      <c r="J5" s="4">
        <v>2.7171486088152226</v>
      </c>
      <c r="K5" s="5">
        <v>1190</v>
      </c>
      <c r="L5" s="32">
        <v>9153.8461538461543</v>
      </c>
      <c r="M5" s="12">
        <v>72</v>
      </c>
      <c r="N5" s="12">
        <v>45.73</v>
      </c>
    </row>
    <row r="6" spans="1:14" ht="15" customHeight="1">
      <c r="A6" s="25">
        <v>1981</v>
      </c>
      <c r="B6" s="5">
        <v>10985.9</v>
      </c>
      <c r="C6" s="6">
        <v>4546.7</v>
      </c>
      <c r="D6" s="7">
        <v>41.386686570968237</v>
      </c>
      <c r="E6" s="5">
        <v>10898</v>
      </c>
      <c r="F6" s="6">
        <v>12183</v>
      </c>
      <c r="G6" s="8">
        <v>132770</v>
      </c>
      <c r="H6" s="4">
        <v>13.8</v>
      </c>
      <c r="I6" s="4">
        <v>5.0352433333333346</v>
      </c>
      <c r="J6" s="4">
        <v>2.7590311087479207</v>
      </c>
      <c r="K6" s="5">
        <v>1200</v>
      </c>
      <c r="L6" s="32">
        <v>8695.6521739130421</v>
      </c>
      <c r="M6" s="12">
        <v>70.900000000000006</v>
      </c>
      <c r="N6" s="12">
        <v>41.93</v>
      </c>
    </row>
    <row r="7" spans="1:14" ht="15" customHeight="1">
      <c r="A7" s="25">
        <v>1982</v>
      </c>
      <c r="B7" s="5">
        <v>11046.8</v>
      </c>
      <c r="C7" s="6">
        <v>4544.8</v>
      </c>
      <c r="D7" s="7">
        <v>41.141325994858249</v>
      </c>
      <c r="E7" s="5">
        <v>11011</v>
      </c>
      <c r="F7" s="6">
        <v>12306</v>
      </c>
      <c r="G7" s="8">
        <v>135505</v>
      </c>
      <c r="H7" s="4">
        <v>13.600000000000001</v>
      </c>
      <c r="I7" s="4">
        <v>4.4221016666666673</v>
      </c>
      <c r="J7" s="4">
        <v>3.0881269035865357</v>
      </c>
      <c r="K7" s="5">
        <v>1110</v>
      </c>
      <c r="L7" s="32">
        <v>8161.7647058823522</v>
      </c>
      <c r="M7" s="12">
        <v>72.733333333333334</v>
      </c>
      <c r="N7" s="12">
        <v>39.96</v>
      </c>
    </row>
    <row r="8" spans="1:14" ht="15" customHeight="1">
      <c r="A8" s="25">
        <v>1983</v>
      </c>
      <c r="B8" s="5">
        <v>11058.7</v>
      </c>
      <c r="C8" s="6">
        <v>4532.7</v>
      </c>
      <c r="D8" s="7">
        <v>40.987638691708788</v>
      </c>
      <c r="E8" s="5">
        <v>11059</v>
      </c>
      <c r="F8" s="6">
        <v>12622</v>
      </c>
      <c r="G8" s="8">
        <v>139588</v>
      </c>
      <c r="H8" s="4">
        <v>13.600000000000001</v>
      </c>
      <c r="I8" s="4">
        <v>5.235034166666666</v>
      </c>
      <c r="J8" s="4">
        <v>2.6096195569572509</v>
      </c>
      <c r="K8" s="5">
        <v>1030</v>
      </c>
      <c r="L8" s="32">
        <v>7573.5294117647054</v>
      </c>
      <c r="M8" s="12">
        <v>78.7</v>
      </c>
      <c r="N8" s="12">
        <v>39.35</v>
      </c>
    </row>
    <row r="9" spans="1:14" ht="15" customHeight="1">
      <c r="A9" s="25">
        <v>1984</v>
      </c>
      <c r="B9" s="5">
        <v>10776.9</v>
      </c>
      <c r="C9" s="6">
        <v>4770</v>
      </c>
      <c r="D9" s="7">
        <v>44.261336748044428</v>
      </c>
      <c r="E9" s="5">
        <v>10793</v>
      </c>
      <c r="F9" s="6">
        <v>12541</v>
      </c>
      <c r="G9" s="8">
        <v>135351</v>
      </c>
      <c r="H9" s="4">
        <v>13.5</v>
      </c>
      <c r="I9" s="4">
        <v>5.3387866666666666</v>
      </c>
      <c r="J9" s="4">
        <v>2.54</v>
      </c>
      <c r="K9" s="5">
        <v>895</v>
      </c>
      <c r="L9" s="32">
        <v>6629.6296296296296</v>
      </c>
      <c r="M9" s="12">
        <v>79.483333333333334</v>
      </c>
      <c r="N9" s="12">
        <v>39.81</v>
      </c>
    </row>
    <row r="10" spans="1:14" ht="15" customHeight="1">
      <c r="A10" s="25">
        <v>1985</v>
      </c>
      <c r="B10" s="5">
        <v>11115.5</v>
      </c>
      <c r="C10" s="6">
        <v>4708.7</v>
      </c>
      <c r="D10" s="7">
        <v>42.361567180963519</v>
      </c>
      <c r="E10" s="5">
        <v>10981</v>
      </c>
      <c r="F10" s="6">
        <v>13024</v>
      </c>
      <c r="G10" s="8">
        <v>143012</v>
      </c>
      <c r="H10" s="4">
        <v>12.700000000000001</v>
      </c>
      <c r="I10" s="4">
        <v>4.5004575000000004</v>
      </c>
      <c r="J10" s="4">
        <v>2.84</v>
      </c>
      <c r="K10" s="5">
        <v>860</v>
      </c>
      <c r="L10" s="32">
        <v>6771.6535433070858</v>
      </c>
      <c r="M10" s="12">
        <v>73.675000000000011</v>
      </c>
      <c r="N10" s="12">
        <v>38.31</v>
      </c>
    </row>
    <row r="11" spans="1:14" ht="15" customHeight="1">
      <c r="A11" s="25">
        <v>1986</v>
      </c>
      <c r="B11" s="5">
        <v>10466.4</v>
      </c>
      <c r="C11" s="6">
        <v>4304.8999999999996</v>
      </c>
      <c r="D11" s="7">
        <v>41.130665749445846</v>
      </c>
      <c r="E11" s="5">
        <v>10773</v>
      </c>
      <c r="F11" s="6">
        <v>13285</v>
      </c>
      <c r="G11" s="8">
        <v>143124</v>
      </c>
      <c r="H11" s="4">
        <v>12.5</v>
      </c>
      <c r="I11" s="4">
        <v>3.7747499999999992</v>
      </c>
      <c r="J11" s="4">
        <v>3.39</v>
      </c>
      <c r="K11" s="5">
        <v>820</v>
      </c>
      <c r="L11" s="32">
        <v>6560</v>
      </c>
      <c r="M11" s="12">
        <v>64.641666666666666</v>
      </c>
      <c r="N11" s="12">
        <v>37.18</v>
      </c>
    </row>
    <row r="12" spans="1:14" ht="15" customHeight="1">
      <c r="A12" s="25">
        <v>1987</v>
      </c>
      <c r="B12" s="5">
        <v>10311.200000000001</v>
      </c>
      <c r="C12" s="6">
        <v>4122.3</v>
      </c>
      <c r="D12" s="7">
        <v>39.97885794087982</v>
      </c>
      <c r="E12" s="5">
        <v>10327</v>
      </c>
      <c r="F12" s="6">
        <v>13819</v>
      </c>
      <c r="G12" s="8">
        <v>142709</v>
      </c>
      <c r="H12" s="4">
        <v>12.5</v>
      </c>
      <c r="I12" s="4">
        <v>3.4454150000000001</v>
      </c>
      <c r="J12" s="4">
        <v>3.64</v>
      </c>
      <c r="K12" s="5">
        <v>920</v>
      </c>
      <c r="L12" s="32">
        <v>7360</v>
      </c>
      <c r="M12" s="12">
        <v>65.966666666666669</v>
      </c>
      <c r="N12" s="12">
        <v>44.8</v>
      </c>
    </row>
    <row r="13" spans="1:14" ht="15" customHeight="1">
      <c r="A13" s="25">
        <v>1988</v>
      </c>
      <c r="B13" s="5">
        <v>10137.5</v>
      </c>
      <c r="C13" s="6">
        <v>4116.7</v>
      </c>
      <c r="D13" s="7">
        <v>40.608631319358814</v>
      </c>
      <c r="E13" s="5">
        <v>10224</v>
      </c>
      <c r="F13" s="6">
        <v>14185</v>
      </c>
      <c r="G13" s="8">
        <v>145034</v>
      </c>
      <c r="H13" s="4">
        <v>12.200000000000001</v>
      </c>
      <c r="I13" s="4">
        <v>4.7215791666666673</v>
      </c>
      <c r="J13" s="4">
        <v>2.63</v>
      </c>
      <c r="K13" s="5">
        <v>990</v>
      </c>
      <c r="L13" s="32">
        <v>8114.754098360655</v>
      </c>
      <c r="M13" s="12">
        <v>82.508333333333326</v>
      </c>
      <c r="N13" s="12">
        <v>47.91</v>
      </c>
    </row>
    <row r="14" spans="1:14" ht="15" customHeight="1">
      <c r="A14" s="26">
        <v>1989</v>
      </c>
      <c r="B14" s="9">
        <v>10014.799999999999</v>
      </c>
      <c r="C14" s="10">
        <v>4170.6000000000004</v>
      </c>
      <c r="D14" s="17">
        <v>41.644366337820031</v>
      </c>
      <c r="E14" s="9">
        <v>10046</v>
      </c>
      <c r="F14" s="10">
        <v>14323</v>
      </c>
      <c r="G14" s="24">
        <v>143893</v>
      </c>
      <c r="H14" s="11">
        <v>13.600000000000001</v>
      </c>
      <c r="I14" s="11">
        <v>5.0674175000000004</v>
      </c>
      <c r="J14" s="11">
        <v>2.7</v>
      </c>
      <c r="K14" s="9">
        <v>1030</v>
      </c>
      <c r="L14" s="18">
        <v>7573.5294117647054</v>
      </c>
      <c r="M14" s="13">
        <v>95.983333333333334</v>
      </c>
      <c r="N14" s="13">
        <v>50.11</v>
      </c>
    </row>
    <row r="15" spans="1:14" ht="15" customHeight="1">
      <c r="A15" s="25">
        <v>1990</v>
      </c>
      <c r="B15" s="5">
        <v>9965.6</v>
      </c>
      <c r="C15" s="6">
        <v>4093.4</v>
      </c>
      <c r="D15" s="7">
        <v>41.075299028658584</v>
      </c>
      <c r="E15" s="5">
        <v>9993</v>
      </c>
      <c r="F15" s="6">
        <v>14782</v>
      </c>
      <c r="G15" s="8">
        <v>147721</v>
      </c>
      <c r="H15" s="4">
        <v>13.700000000000001</v>
      </c>
      <c r="I15" s="4">
        <v>4.8567200000000001</v>
      </c>
      <c r="J15" s="4">
        <v>2.82</v>
      </c>
      <c r="K15" s="5">
        <v>1160</v>
      </c>
      <c r="L15" s="32">
        <v>8467.1532846715327</v>
      </c>
      <c r="M15" s="12">
        <v>92.558333333333323</v>
      </c>
      <c r="N15" s="12">
        <v>53.32</v>
      </c>
    </row>
    <row r="16" spans="1:14" ht="15" customHeight="1">
      <c r="A16" s="25">
        <v>1991</v>
      </c>
      <c r="B16" s="5">
        <v>9728.2000000000007</v>
      </c>
      <c r="C16" s="6">
        <v>4131.3999999999996</v>
      </c>
      <c r="D16" s="7">
        <v>42.468288069735401</v>
      </c>
      <c r="E16" s="5">
        <v>9826</v>
      </c>
      <c r="F16" s="6">
        <v>15031</v>
      </c>
      <c r="G16" s="8">
        <v>147697</v>
      </c>
      <c r="H16" s="4">
        <v>12.200000000000001</v>
      </c>
      <c r="I16" s="4">
        <v>4.4852058333333327</v>
      </c>
      <c r="J16" s="4">
        <v>2.74</v>
      </c>
      <c r="K16" s="5">
        <v>1100</v>
      </c>
      <c r="L16" s="32">
        <v>9016.3934426229498</v>
      </c>
      <c r="M16" s="12">
        <v>78.958333333333329</v>
      </c>
      <c r="N16" s="12">
        <v>51.5</v>
      </c>
    </row>
    <row r="17" spans="1:21" ht="15" customHeight="1">
      <c r="A17" s="25">
        <v>1992</v>
      </c>
      <c r="B17" s="5">
        <v>9658.1</v>
      </c>
      <c r="C17" s="6">
        <v>4176.2</v>
      </c>
      <c r="D17" s="7">
        <v>43.240388896366774</v>
      </c>
      <c r="E17" s="5">
        <v>9688</v>
      </c>
      <c r="F17" s="6">
        <v>15570</v>
      </c>
      <c r="G17" s="8">
        <v>150847</v>
      </c>
      <c r="H17" s="4">
        <v>13.100000000000001</v>
      </c>
      <c r="I17" s="4">
        <v>4.3712358333333334</v>
      </c>
      <c r="J17" s="4">
        <v>3.01</v>
      </c>
      <c r="K17" s="5">
        <v>1130</v>
      </c>
      <c r="L17" s="32">
        <v>8625.9541984732823</v>
      </c>
      <c r="M17" s="12">
        <v>75.50833333333334</v>
      </c>
      <c r="N17" s="12">
        <v>49.69</v>
      </c>
    </row>
    <row r="18" spans="1:21" ht="15" customHeight="1">
      <c r="A18" s="25">
        <v>1993</v>
      </c>
      <c r="B18" s="5">
        <v>9507</v>
      </c>
      <c r="C18" s="6">
        <v>4124.5</v>
      </c>
      <c r="D18" s="7">
        <v>43.383822446618282</v>
      </c>
      <c r="E18" s="5">
        <v>9581</v>
      </c>
      <c r="F18" s="6">
        <v>15722</v>
      </c>
      <c r="G18" s="8">
        <v>150636</v>
      </c>
      <c r="H18" s="4">
        <v>12.8</v>
      </c>
      <c r="I18" s="4">
        <v>4.5999241666666668</v>
      </c>
      <c r="J18" s="4">
        <v>2.8</v>
      </c>
      <c r="K18" s="5">
        <v>1160</v>
      </c>
      <c r="L18" s="32">
        <v>9062.5</v>
      </c>
      <c r="M18" s="12">
        <v>86.666666666666671</v>
      </c>
      <c r="N18" s="12">
        <v>50.14</v>
      </c>
    </row>
    <row r="19" spans="1:21" ht="15" customHeight="1">
      <c r="A19" s="25">
        <v>1994</v>
      </c>
      <c r="B19" s="5">
        <v>9481.7999999999993</v>
      </c>
      <c r="C19" s="6">
        <v>4121.3</v>
      </c>
      <c r="D19" s="7">
        <v>43.465375772532653</v>
      </c>
      <c r="E19" s="5">
        <v>9494</v>
      </c>
      <c r="F19" s="6">
        <v>16179</v>
      </c>
      <c r="G19" s="8">
        <v>153602</v>
      </c>
      <c r="H19" s="4">
        <v>13</v>
      </c>
      <c r="I19" s="4">
        <v>4.9261991666666676</v>
      </c>
      <c r="J19" s="4">
        <v>2.65</v>
      </c>
      <c r="K19" s="5">
        <v>1170</v>
      </c>
      <c r="L19" s="32">
        <v>9000</v>
      </c>
      <c r="M19" s="12">
        <v>93.633333333333326</v>
      </c>
      <c r="N19" s="12">
        <v>45.03</v>
      </c>
    </row>
    <row r="20" spans="1:21" ht="15" customHeight="1">
      <c r="A20" s="25">
        <v>1995</v>
      </c>
      <c r="B20" s="5">
        <v>9419.9</v>
      </c>
      <c r="C20" s="6">
        <v>4090.3</v>
      </c>
      <c r="D20" s="7">
        <v>43.42190469113261</v>
      </c>
      <c r="E20" s="5">
        <v>9466</v>
      </c>
      <c r="F20" s="6">
        <v>16405</v>
      </c>
      <c r="G20" s="8">
        <v>155292</v>
      </c>
      <c r="H20" s="4">
        <v>12.700000000000001</v>
      </c>
      <c r="I20" s="4">
        <v>4.9138116666666658</v>
      </c>
      <c r="J20" s="4">
        <v>2.59</v>
      </c>
      <c r="K20" s="5">
        <v>1130</v>
      </c>
      <c r="L20" s="32">
        <v>8897.6377952755902</v>
      </c>
      <c r="M20" s="12">
        <v>88.091666666666654</v>
      </c>
      <c r="N20" s="12">
        <v>38.119999999999997</v>
      </c>
    </row>
    <row r="21" spans="1:21" ht="15" customHeight="1">
      <c r="A21" s="25">
        <v>1996</v>
      </c>
      <c r="B21" s="5">
        <v>9317.9</v>
      </c>
      <c r="C21" s="6">
        <v>4058.4</v>
      </c>
      <c r="D21" s="7">
        <v>43.554878245098152</v>
      </c>
      <c r="E21" s="5">
        <v>9372</v>
      </c>
      <c r="F21" s="6">
        <v>16433</v>
      </c>
      <c r="G21" s="8">
        <v>154006</v>
      </c>
      <c r="H21" s="4">
        <v>14.9</v>
      </c>
      <c r="I21" s="4">
        <v>6.1510449999999999</v>
      </c>
      <c r="J21" s="4">
        <v>2.44</v>
      </c>
      <c r="K21" s="5">
        <v>1090</v>
      </c>
      <c r="L21" s="32">
        <v>7315.4362416107379</v>
      </c>
      <c r="M21" s="12">
        <v>95.024999999999991</v>
      </c>
      <c r="N21" s="12">
        <v>33</v>
      </c>
    </row>
    <row r="22" spans="1:21" ht="15" customHeight="1">
      <c r="A22" s="27">
        <v>1997</v>
      </c>
      <c r="B22" s="5">
        <v>9199</v>
      </c>
      <c r="C22" s="6">
        <v>3985.7</v>
      </c>
      <c r="D22" s="7">
        <v>43.327535601695836</v>
      </c>
      <c r="E22" s="5">
        <v>9252</v>
      </c>
      <c r="F22" s="6">
        <v>16871</v>
      </c>
      <c r="G22" s="8">
        <v>156091</v>
      </c>
      <c r="H22" s="4">
        <v>13.3</v>
      </c>
      <c r="I22" s="4">
        <v>5.6215525</v>
      </c>
      <c r="J22" s="4">
        <v>2.38</v>
      </c>
      <c r="K22" s="5">
        <v>1100</v>
      </c>
      <c r="L22" s="32">
        <v>8270.6766917293226</v>
      </c>
      <c r="M22" s="12">
        <v>110.69166666666666</v>
      </c>
      <c r="N22" s="12">
        <v>36.93</v>
      </c>
    </row>
    <row r="23" spans="1:21" ht="15" customHeight="1">
      <c r="A23" s="27">
        <v>1998</v>
      </c>
      <c r="B23" s="5">
        <v>9128</v>
      </c>
      <c r="C23" s="6">
        <v>4068.8</v>
      </c>
      <c r="D23" s="7">
        <v>44.574934268185807</v>
      </c>
      <c r="E23" s="5">
        <v>9151</v>
      </c>
      <c r="F23" s="6">
        <v>17185</v>
      </c>
      <c r="G23" s="8">
        <v>157262</v>
      </c>
      <c r="H23" s="4">
        <v>15.5</v>
      </c>
      <c r="I23" s="4">
        <v>4.7288291666666673</v>
      </c>
      <c r="J23" s="4">
        <v>3.34</v>
      </c>
      <c r="K23" s="5">
        <v>1120</v>
      </c>
      <c r="L23" s="32">
        <v>7225.8064516129034</v>
      </c>
      <c r="M23" s="12">
        <v>94.283333333333346</v>
      </c>
      <c r="N23" s="12">
        <v>35.54</v>
      </c>
    </row>
    <row r="24" spans="1:21" ht="15" customHeight="1">
      <c r="A24" s="28">
        <v>1999</v>
      </c>
      <c r="B24" s="9">
        <v>9182.7999999999993</v>
      </c>
      <c r="C24" s="10">
        <v>3999.8</v>
      </c>
      <c r="D24" s="17">
        <v>43.557520581957576</v>
      </c>
      <c r="E24" s="9">
        <v>9153</v>
      </c>
      <c r="F24" s="10">
        <v>17763</v>
      </c>
      <c r="G24" s="24">
        <v>162589</v>
      </c>
      <c r="H24" s="11">
        <v>14.4</v>
      </c>
      <c r="I24" s="11">
        <v>4.0110083333333346</v>
      </c>
      <c r="J24" s="11">
        <v>3.59</v>
      </c>
      <c r="K24" s="9">
        <v>1280</v>
      </c>
      <c r="L24" s="18">
        <v>8888.8888888888887</v>
      </c>
      <c r="M24" s="13">
        <v>82.25833333333334</v>
      </c>
      <c r="N24" s="13">
        <v>37.28</v>
      </c>
      <c r="Q24" s="3" t="s">
        <v>33</v>
      </c>
      <c r="R24" s="3" t="s">
        <v>34</v>
      </c>
    </row>
    <row r="25" spans="1:21" ht="15" customHeight="1">
      <c r="A25" s="27">
        <v>2000</v>
      </c>
      <c r="B25" s="5">
        <v>9171.7000000000007</v>
      </c>
      <c r="C25" s="6">
        <v>4057</v>
      </c>
      <c r="D25" s="7">
        <v>44.233893389447971</v>
      </c>
      <c r="E25" s="5">
        <v>9199</v>
      </c>
      <c r="F25" s="6">
        <v>18197</v>
      </c>
      <c r="G25" s="8">
        <v>167393</v>
      </c>
      <c r="H25" s="4">
        <v>12.3</v>
      </c>
      <c r="I25" s="4">
        <v>4.0425608333333338</v>
      </c>
      <c r="J25" s="4">
        <v>3.05</v>
      </c>
      <c r="K25" s="5">
        <v>1340</v>
      </c>
      <c r="L25" s="32">
        <v>10894.308943089431</v>
      </c>
      <c r="M25" s="14">
        <v>83.875000000000014</v>
      </c>
      <c r="N25" s="14">
        <v>40.076041666666669</v>
      </c>
      <c r="Q25" s="84">
        <f>(H25/112)*G25*1000000</f>
        <v>18383338392.857147</v>
      </c>
      <c r="R25" s="81">
        <f>Q25/1000000000</f>
        <v>18.383338392857148</v>
      </c>
    </row>
    <row r="26" spans="1:21" ht="15" customHeight="1">
      <c r="A26" s="27">
        <v>2001</v>
      </c>
      <c r="B26" s="5">
        <v>9105.6</v>
      </c>
      <c r="C26" s="6">
        <v>4054.8</v>
      </c>
      <c r="D26" s="7">
        <v>44.530838165524514</v>
      </c>
      <c r="E26" s="5">
        <v>9103</v>
      </c>
      <c r="F26" s="6">
        <v>18162</v>
      </c>
      <c r="G26" s="8">
        <v>165332</v>
      </c>
      <c r="H26" s="4">
        <v>15</v>
      </c>
      <c r="I26" s="4">
        <v>4.4133874999999998</v>
      </c>
      <c r="J26" s="4">
        <v>3.39</v>
      </c>
      <c r="K26" s="5">
        <v>1500</v>
      </c>
      <c r="L26" s="32">
        <v>10000</v>
      </c>
      <c r="M26" s="14">
        <v>102.40833333333335</v>
      </c>
      <c r="N26" s="14">
        <v>44.778645833333336</v>
      </c>
      <c r="Q26" s="84">
        <f t="shared" ref="Q26:Q47" si="0">(H26/112)*G26*1000000</f>
        <v>22142678571.428574</v>
      </c>
      <c r="R26" s="81">
        <f t="shared" ref="R26:R47" si="1">Q26/1000000000</f>
        <v>22.142678571428572</v>
      </c>
    </row>
    <row r="27" spans="1:21" ht="15" customHeight="1">
      <c r="A27" s="27">
        <v>2002</v>
      </c>
      <c r="B27" s="5">
        <v>9141.7000000000007</v>
      </c>
      <c r="C27" s="6">
        <v>4113.8999999999996</v>
      </c>
      <c r="D27" s="7">
        <v>45.001476749401085</v>
      </c>
      <c r="E27" s="5">
        <v>9139</v>
      </c>
      <c r="F27" s="6">
        <v>18608</v>
      </c>
      <c r="G27" s="8">
        <v>170063</v>
      </c>
      <c r="H27" s="4">
        <v>12.1</v>
      </c>
      <c r="I27" s="4">
        <v>4.6739725000000005</v>
      </c>
      <c r="J27" s="4">
        <v>2.6</v>
      </c>
      <c r="K27" s="5">
        <v>1600</v>
      </c>
      <c r="L27" s="32">
        <v>13223.140495867769</v>
      </c>
      <c r="M27" s="14">
        <v>101.3</v>
      </c>
      <c r="N27" s="14">
        <v>40.093229166666667</v>
      </c>
      <c r="Q27" s="84">
        <f t="shared" si="0"/>
        <v>18372877678.571426</v>
      </c>
      <c r="R27" s="81">
        <f t="shared" si="1"/>
        <v>18.372877678571427</v>
      </c>
    </row>
    <row r="28" spans="1:21" ht="15" customHeight="1">
      <c r="A28" s="27">
        <v>2003</v>
      </c>
      <c r="B28" s="5">
        <v>8987.5</v>
      </c>
      <c r="C28" s="6">
        <v>4018</v>
      </c>
      <c r="D28" s="7">
        <v>44.70653685674548</v>
      </c>
      <c r="E28" s="5">
        <v>9081</v>
      </c>
      <c r="F28" s="6">
        <v>18759</v>
      </c>
      <c r="G28" s="8">
        <v>170348</v>
      </c>
      <c r="H28" s="4">
        <v>12.5</v>
      </c>
      <c r="I28" s="4">
        <v>4.8023991666666666</v>
      </c>
      <c r="J28" s="4">
        <v>2.61</v>
      </c>
      <c r="K28" s="5">
        <v>1340</v>
      </c>
      <c r="L28" s="32">
        <v>10720</v>
      </c>
      <c r="M28" s="14">
        <v>94.024999999999991</v>
      </c>
      <c r="N28" s="14">
        <v>42.99</v>
      </c>
      <c r="Q28" s="84">
        <f t="shared" si="0"/>
        <v>19012053571.428574</v>
      </c>
      <c r="R28" s="81">
        <f t="shared" si="1"/>
        <v>19.012053571428574</v>
      </c>
      <c r="T28" s="3" t="s">
        <v>35</v>
      </c>
      <c r="U28" s="3" t="s">
        <v>36</v>
      </c>
    </row>
    <row r="29" spans="1:21" ht="15" customHeight="1">
      <c r="A29" s="27">
        <v>2004</v>
      </c>
      <c r="B29" s="5">
        <v>9003.5</v>
      </c>
      <c r="C29" s="6">
        <v>4116.6000000000004</v>
      </c>
      <c r="D29" s="7">
        <v>45.722219137002277</v>
      </c>
      <c r="E29" s="5">
        <v>9010</v>
      </c>
      <c r="F29" s="6">
        <v>18960</v>
      </c>
      <c r="G29" s="8">
        <v>170832</v>
      </c>
      <c r="H29" s="4">
        <v>16.100000000000001</v>
      </c>
      <c r="I29" s="4">
        <v>5.200663333333333</v>
      </c>
      <c r="J29" s="4">
        <v>3.1</v>
      </c>
      <c r="K29" s="5">
        <v>1580</v>
      </c>
      <c r="L29" s="32">
        <v>9813.664596273291</v>
      </c>
      <c r="M29" s="14">
        <v>95.133333333333326</v>
      </c>
      <c r="N29" s="14">
        <v>52.66</v>
      </c>
      <c r="Q29" s="84">
        <f t="shared" si="0"/>
        <v>24557100000.000004</v>
      </c>
      <c r="R29" s="81">
        <f t="shared" si="1"/>
        <v>24.557100000000005</v>
      </c>
      <c r="T29" s="3">
        <v>3.6</v>
      </c>
      <c r="U29" s="83">
        <f>T29/T$35</f>
        <v>1.1480130621563996E-2</v>
      </c>
    </row>
    <row r="30" spans="1:21" ht="15" customHeight="1">
      <c r="A30" s="27">
        <v>2005</v>
      </c>
      <c r="B30" s="5">
        <v>9103.9</v>
      </c>
      <c r="C30" s="6">
        <v>4298</v>
      </c>
      <c r="D30" s="7">
        <v>47.21053614385044</v>
      </c>
      <c r="E30" s="5">
        <v>9050</v>
      </c>
      <c r="F30" s="6">
        <v>19550</v>
      </c>
      <c r="G30" s="8">
        <v>176931</v>
      </c>
      <c r="H30" s="4">
        <v>15.1</v>
      </c>
      <c r="I30" s="4">
        <v>4.6824683333333326</v>
      </c>
      <c r="J30" s="4">
        <v>3.24</v>
      </c>
      <c r="K30" s="5">
        <v>1770</v>
      </c>
      <c r="L30" s="32">
        <v>11721.854304635763</v>
      </c>
      <c r="M30" s="14">
        <v>102.52499999999998</v>
      </c>
      <c r="N30" s="14">
        <v>53.94</v>
      </c>
      <c r="Q30" s="84">
        <f t="shared" si="0"/>
        <v>23854090178.571426</v>
      </c>
      <c r="R30" s="81">
        <f t="shared" si="1"/>
        <v>23.854090178571425</v>
      </c>
      <c r="T30" s="3">
        <v>6.7</v>
      </c>
      <c r="U30" s="83">
        <f>T30/T$35</f>
        <v>2.1365798656799658E-2</v>
      </c>
    </row>
    <row r="31" spans="1:21" ht="15" customHeight="1">
      <c r="A31" s="27">
        <v>2006</v>
      </c>
      <c r="B31" s="5">
        <v>9144.5</v>
      </c>
      <c r="C31" s="6">
        <v>4324.8999999999996</v>
      </c>
      <c r="D31" s="7">
        <v>47.295095412543056</v>
      </c>
      <c r="E31" s="5">
        <v>9137</v>
      </c>
      <c r="F31" s="6">
        <v>19895</v>
      </c>
      <c r="G31" s="8">
        <v>181782</v>
      </c>
      <c r="H31" s="4">
        <v>12.9</v>
      </c>
      <c r="I31" s="4">
        <v>5.0370883333333341</v>
      </c>
      <c r="J31" s="4">
        <v>2.57</v>
      </c>
      <c r="K31" s="5">
        <v>1730</v>
      </c>
      <c r="L31" s="32">
        <v>13410.852713178294</v>
      </c>
      <c r="M31" s="14">
        <v>107.70833333333333</v>
      </c>
      <c r="N31" s="14">
        <v>49.08</v>
      </c>
      <c r="Q31" s="84">
        <f t="shared" si="0"/>
        <v>20937391071.428574</v>
      </c>
      <c r="R31" s="81">
        <f t="shared" si="1"/>
        <v>20.937391071428575</v>
      </c>
    </row>
    <row r="32" spans="1:21" ht="15" customHeight="1">
      <c r="A32" s="27">
        <v>2007</v>
      </c>
      <c r="B32" s="5">
        <v>9257</v>
      </c>
      <c r="C32" s="6">
        <v>4415</v>
      </c>
      <c r="D32" s="7">
        <v>47.693637247488383</v>
      </c>
      <c r="E32" s="5">
        <v>9189</v>
      </c>
      <c r="F32" s="6">
        <v>20204</v>
      </c>
      <c r="G32" s="8">
        <v>185654</v>
      </c>
      <c r="H32" s="4">
        <v>19.100000000000001</v>
      </c>
      <c r="I32" s="4">
        <v>6.7957600000000014</v>
      </c>
      <c r="J32" s="4">
        <v>2.8</v>
      </c>
      <c r="K32" s="5">
        <v>1830</v>
      </c>
      <c r="L32" s="32">
        <v>9581.1518324607314</v>
      </c>
      <c r="M32" s="14">
        <v>130.58333333333334</v>
      </c>
      <c r="N32" s="14">
        <v>49.51</v>
      </c>
      <c r="Q32" s="84">
        <f t="shared" si="0"/>
        <v>31660637500</v>
      </c>
      <c r="R32" s="81">
        <f t="shared" si="1"/>
        <v>31.6606375</v>
      </c>
    </row>
    <row r="33" spans="1:20" ht="15" customHeight="1">
      <c r="A33" s="27">
        <v>2008</v>
      </c>
      <c r="B33" s="5">
        <v>9332.7999999999993</v>
      </c>
      <c r="C33" s="6">
        <v>4409.5</v>
      </c>
      <c r="D33" s="7">
        <v>47.247342705297449</v>
      </c>
      <c r="E33" s="5">
        <v>9314</v>
      </c>
      <c r="F33" s="6">
        <v>20397</v>
      </c>
      <c r="G33" s="8">
        <v>189978</v>
      </c>
      <c r="H33" s="4">
        <v>18.3</v>
      </c>
      <c r="I33" s="4">
        <v>9.1662541666666666</v>
      </c>
      <c r="J33" s="4">
        <v>2.0099999999999998</v>
      </c>
      <c r="K33" s="5">
        <v>1950</v>
      </c>
      <c r="L33" s="32">
        <v>10655.737704918032</v>
      </c>
      <c r="M33" s="14">
        <v>161.33333333333334</v>
      </c>
      <c r="N33" s="14">
        <v>51.44</v>
      </c>
      <c r="Q33" s="84">
        <f t="shared" si="0"/>
        <v>31041048214.285713</v>
      </c>
      <c r="R33" s="81">
        <f t="shared" si="1"/>
        <v>31.041048214285713</v>
      </c>
    </row>
    <row r="34" spans="1:20" ht="15" customHeight="1">
      <c r="A34" s="28">
        <v>2009</v>
      </c>
      <c r="B34" s="9">
        <v>9086.5</v>
      </c>
      <c r="C34" s="10">
        <v>4551.2</v>
      </c>
      <c r="D34" s="17">
        <v>50.087492433830406</v>
      </c>
      <c r="E34" s="9">
        <v>9202</v>
      </c>
      <c r="F34" s="10">
        <v>20561</v>
      </c>
      <c r="G34" s="24">
        <v>189202</v>
      </c>
      <c r="H34" s="11">
        <v>12.8</v>
      </c>
      <c r="I34" s="11">
        <v>7.2684691666666659</v>
      </c>
      <c r="J34" s="11">
        <v>1.78</v>
      </c>
      <c r="K34" s="9">
        <v>1390</v>
      </c>
      <c r="L34" s="18">
        <v>10859.375</v>
      </c>
      <c r="M34" s="19">
        <v>122.91666666666667</v>
      </c>
      <c r="N34" s="19">
        <v>44.376750000000001</v>
      </c>
      <c r="Q34" s="84">
        <f t="shared" si="0"/>
        <v>21623085714.285717</v>
      </c>
      <c r="R34" s="81">
        <f t="shared" si="1"/>
        <v>21.623085714285718</v>
      </c>
    </row>
    <row r="35" spans="1:20" ht="15" customHeight="1">
      <c r="A35" s="27">
        <v>2010</v>
      </c>
      <c r="B35" s="5">
        <v>9155.6</v>
      </c>
      <c r="C35" s="6">
        <v>4577.2</v>
      </c>
      <c r="D35" s="7">
        <v>49.993446633754203</v>
      </c>
      <c r="E35" s="5">
        <v>9123</v>
      </c>
      <c r="F35" s="6">
        <v>21142</v>
      </c>
      <c r="G35" s="8">
        <v>192877</v>
      </c>
      <c r="H35" s="4">
        <v>16.3</v>
      </c>
      <c r="I35" s="4">
        <v>7.2029950000000014</v>
      </c>
      <c r="J35" s="4">
        <v>2.2599999999999998</v>
      </c>
      <c r="K35" s="5">
        <v>1330</v>
      </c>
      <c r="L35" s="32">
        <v>8159.5092024539872</v>
      </c>
      <c r="M35" s="14">
        <v>116.41666666666667</v>
      </c>
      <c r="N35" s="14">
        <v>56.1</v>
      </c>
      <c r="Q35" s="84">
        <f t="shared" si="0"/>
        <v>28070491964.285717</v>
      </c>
      <c r="R35" s="81">
        <f t="shared" si="1"/>
        <v>28.070491964285718</v>
      </c>
      <c r="S35" s="3" t="s">
        <v>32</v>
      </c>
      <c r="T35" s="82">
        <f>SUM(R36:R44)</f>
        <v>313.58528214285718</v>
      </c>
    </row>
    <row r="36" spans="1:20" ht="15" customHeight="1">
      <c r="A36" s="27">
        <v>2011</v>
      </c>
      <c r="B36" s="5">
        <v>9235.5</v>
      </c>
      <c r="C36" s="6">
        <v>4618</v>
      </c>
      <c r="D36" s="7">
        <v>50.002706946023501</v>
      </c>
      <c r="E36" s="5">
        <v>9199</v>
      </c>
      <c r="F36" s="6">
        <v>21334</v>
      </c>
      <c r="G36" s="8">
        <v>196255</v>
      </c>
      <c r="H36" s="4">
        <v>20.100000000000001</v>
      </c>
      <c r="I36" s="4">
        <v>10.755957500000001</v>
      </c>
      <c r="J36" s="4">
        <v>1.9</v>
      </c>
      <c r="K36" s="5">
        <v>1420</v>
      </c>
      <c r="L36" s="32">
        <v>7064.6766169154225</v>
      </c>
      <c r="M36" s="14">
        <v>176.08333333333334</v>
      </c>
      <c r="N36" s="14">
        <v>68.3</v>
      </c>
      <c r="Q36" s="84">
        <f t="shared" si="0"/>
        <v>35220763392.857147</v>
      </c>
      <c r="R36" s="81">
        <f t="shared" si="1"/>
        <v>35.220763392857144</v>
      </c>
    </row>
    <row r="37" spans="1:20" ht="15" customHeight="1">
      <c r="A37" s="27">
        <v>2012</v>
      </c>
      <c r="B37" s="5">
        <v>9221.2000000000007</v>
      </c>
      <c r="C37" s="6">
        <v>4545.7</v>
      </c>
      <c r="D37" s="7">
        <v>49.296187047238966</v>
      </c>
      <c r="E37" s="5">
        <v>9237</v>
      </c>
      <c r="F37" s="6">
        <v>21722</v>
      </c>
      <c r="G37" s="8">
        <v>200642</v>
      </c>
      <c r="H37" s="4">
        <v>18.5</v>
      </c>
      <c r="I37" s="4">
        <v>12.15</v>
      </c>
      <c r="J37" s="4">
        <v>1.52</v>
      </c>
      <c r="K37" s="5">
        <v>1430</v>
      </c>
      <c r="L37" s="32">
        <v>7729.72972972973</v>
      </c>
      <c r="M37" s="14">
        <v>206.08333333333334</v>
      </c>
      <c r="N37" s="14">
        <v>77.709999999999994</v>
      </c>
      <c r="Q37" s="84">
        <f t="shared" si="0"/>
        <v>33141758928.571426</v>
      </c>
      <c r="R37" s="81">
        <f t="shared" si="1"/>
        <v>33.141758928571427</v>
      </c>
    </row>
    <row r="38" spans="1:20" ht="15" customHeight="1">
      <c r="A38" s="27">
        <v>2013</v>
      </c>
      <c r="B38" s="5">
        <v>9207.6</v>
      </c>
      <c r="C38" s="6">
        <v>4548.7</v>
      </c>
      <c r="D38" s="7">
        <v>49.401581302402363</v>
      </c>
      <c r="E38" s="5">
        <v>9224</v>
      </c>
      <c r="F38" s="6">
        <v>21819</v>
      </c>
      <c r="G38" s="8">
        <v>201260</v>
      </c>
      <c r="H38" s="4">
        <v>20.100000000000001</v>
      </c>
      <c r="I38" s="4">
        <v>11.709234166666667</v>
      </c>
      <c r="J38" s="4">
        <v>1.75</v>
      </c>
      <c r="K38" s="5">
        <v>1380</v>
      </c>
      <c r="L38" s="32">
        <v>6865.6716417910438</v>
      </c>
      <c r="M38" s="12">
        <v>205.83</v>
      </c>
      <c r="N38" s="14">
        <v>77.56</v>
      </c>
      <c r="Q38" s="84">
        <f t="shared" si="0"/>
        <v>36118982142.857147</v>
      </c>
      <c r="R38" s="81">
        <f t="shared" si="1"/>
        <v>36.118982142857149</v>
      </c>
    </row>
    <row r="39" spans="1:20" ht="15" customHeight="1">
      <c r="A39" s="27">
        <v>2014</v>
      </c>
      <c r="B39" s="5">
        <v>9306.9</v>
      </c>
      <c r="C39" s="6">
        <v>4710.3999999999996</v>
      </c>
      <c r="D39" s="7">
        <v>50.611911592474399</v>
      </c>
      <c r="E39" s="5">
        <v>9261</v>
      </c>
      <c r="F39" s="6">
        <v>22249</v>
      </c>
      <c r="G39" s="6">
        <v>206048</v>
      </c>
      <c r="H39" s="12">
        <v>24</v>
      </c>
      <c r="I39" s="4">
        <v>9.51</v>
      </c>
      <c r="J39" s="4">
        <v>2.54</v>
      </c>
      <c r="K39" s="5">
        <v>1830</v>
      </c>
      <c r="L39" s="33">
        <v>7625</v>
      </c>
      <c r="M39" s="34">
        <v>200.25</v>
      </c>
      <c r="N39" s="14">
        <v>102.04</v>
      </c>
      <c r="Q39" s="84">
        <f t="shared" si="0"/>
        <v>44153142857.142853</v>
      </c>
      <c r="R39" s="81">
        <f t="shared" si="1"/>
        <v>44.153142857142853</v>
      </c>
    </row>
    <row r="40" spans="1:20" ht="15" customHeight="1">
      <c r="A40" s="35">
        <v>2015</v>
      </c>
      <c r="B40" s="6">
        <v>9312.4</v>
      </c>
      <c r="C40" s="6">
        <v>4814</v>
      </c>
      <c r="D40" s="36">
        <v>51.694514840427821</v>
      </c>
      <c r="E40" s="5">
        <v>9320</v>
      </c>
      <c r="F40" s="6">
        <v>22372</v>
      </c>
      <c r="G40" s="8">
        <v>208508</v>
      </c>
      <c r="H40" s="12">
        <v>17.100000000000001</v>
      </c>
      <c r="I40" s="4">
        <v>8.0399999999999991</v>
      </c>
      <c r="J40" s="37">
        <v>2.14</v>
      </c>
      <c r="K40" s="5">
        <v>1990</v>
      </c>
      <c r="L40" s="32">
        <v>11637.426900584795</v>
      </c>
      <c r="M40" s="34">
        <v>165.83</v>
      </c>
      <c r="N40" s="14">
        <v>99.56</v>
      </c>
      <c r="Q40" s="84">
        <f t="shared" si="0"/>
        <v>31834703571.428574</v>
      </c>
      <c r="R40" s="81">
        <f t="shared" si="1"/>
        <v>31.834703571428573</v>
      </c>
    </row>
    <row r="41" spans="1:20" ht="15" customHeight="1">
      <c r="A41" s="27">
        <v>2016</v>
      </c>
      <c r="B41" s="5">
        <v>9368.5</v>
      </c>
      <c r="C41" s="6">
        <v>4754</v>
      </c>
      <c r="D41" s="36">
        <v>50.744516197897205</v>
      </c>
      <c r="E41" s="6">
        <v>9334</v>
      </c>
      <c r="F41" s="6">
        <v>22761</v>
      </c>
      <c r="G41" s="6">
        <v>212451</v>
      </c>
      <c r="H41" s="12">
        <v>16.3</v>
      </c>
      <c r="I41" s="4">
        <v>7.26</v>
      </c>
      <c r="J41" s="37">
        <v>2.2599999999999998</v>
      </c>
      <c r="K41" s="6">
        <v>1760</v>
      </c>
      <c r="L41" s="33">
        <v>10797.546012269939</v>
      </c>
      <c r="M41" s="34">
        <v>138.33000000000001</v>
      </c>
      <c r="N41" s="38">
        <v>70.069999999999993</v>
      </c>
      <c r="Q41" s="84">
        <f t="shared" si="0"/>
        <v>30919208035.714287</v>
      </c>
      <c r="R41" s="81">
        <f t="shared" si="1"/>
        <v>30.919208035714288</v>
      </c>
    </row>
    <row r="42" spans="1:20" ht="15" customHeight="1">
      <c r="A42" s="27">
        <v>2017</v>
      </c>
      <c r="B42" s="5">
        <v>9432.1</v>
      </c>
      <c r="C42" s="6">
        <v>4768.3</v>
      </c>
      <c r="D42" s="36">
        <v>50.553959351575998</v>
      </c>
      <c r="E42" s="6">
        <v>9406</v>
      </c>
      <c r="F42" s="6">
        <v>22914</v>
      </c>
      <c r="G42" s="6">
        <v>215527</v>
      </c>
      <c r="H42" s="12">
        <v>17.7</v>
      </c>
      <c r="I42" s="4">
        <v>7.3</v>
      </c>
      <c r="J42" s="37">
        <v>2.42</v>
      </c>
      <c r="K42" s="6">
        <v>1620</v>
      </c>
      <c r="L42" s="33">
        <v>9152.5423728813566</v>
      </c>
      <c r="M42" s="34">
        <v>145.66999999999999</v>
      </c>
      <c r="N42" s="38">
        <v>65.16</v>
      </c>
      <c r="Q42" s="84">
        <f t="shared" si="0"/>
        <v>34060963392.857143</v>
      </c>
      <c r="R42" s="81">
        <f t="shared" si="1"/>
        <v>34.060963392857147</v>
      </c>
    </row>
    <row r="43" spans="1:20" ht="15" customHeight="1">
      <c r="A43" s="27">
        <v>2018</v>
      </c>
      <c r="B43" s="5">
        <v>9353.4</v>
      </c>
      <c r="C43" s="6">
        <v>4701.5</v>
      </c>
      <c r="D43" s="36">
        <v>50.265144225629186</v>
      </c>
      <c r="E43" s="6">
        <v>9398</v>
      </c>
      <c r="F43" s="6">
        <v>23150</v>
      </c>
      <c r="G43" s="6">
        <v>217568</v>
      </c>
      <c r="H43" s="12">
        <v>16.3</v>
      </c>
      <c r="I43" s="4">
        <v>7.95</v>
      </c>
      <c r="J43" s="37">
        <v>2.0499999999999998</v>
      </c>
      <c r="K43" s="6">
        <v>1360</v>
      </c>
      <c r="L43" s="33">
        <v>8343.5582822085889</v>
      </c>
      <c r="M43" s="34">
        <v>174.17</v>
      </c>
      <c r="N43" s="38">
        <v>57.43</v>
      </c>
      <c r="Q43" s="84">
        <f t="shared" si="0"/>
        <v>31663914285.714287</v>
      </c>
      <c r="R43" s="81">
        <f t="shared" si="1"/>
        <v>31.663914285714288</v>
      </c>
    </row>
    <row r="44" spans="1:20" ht="15" customHeight="1">
      <c r="A44" s="28">
        <v>2019</v>
      </c>
      <c r="B44" s="9">
        <v>9342.6</v>
      </c>
      <c r="C44" s="10">
        <v>4684</v>
      </c>
      <c r="D44" s="42">
        <v>50.135936463083077</v>
      </c>
      <c r="E44" s="10">
        <v>9337</v>
      </c>
      <c r="F44" s="10">
        <v>23395</v>
      </c>
      <c r="G44" s="10">
        <v>218441</v>
      </c>
      <c r="H44" s="13">
        <v>18.7</v>
      </c>
      <c r="I44" s="11">
        <v>8.32</v>
      </c>
      <c r="J44" s="43">
        <v>2.25</v>
      </c>
      <c r="K44" s="10">
        <v>1205</v>
      </c>
      <c r="L44" s="45">
        <v>6443.8502673796793</v>
      </c>
      <c r="M44" s="44">
        <v>182.92</v>
      </c>
      <c r="N44" s="46">
        <v>56.43</v>
      </c>
      <c r="Q44" s="84">
        <f t="shared" si="0"/>
        <v>36471845535.714279</v>
      </c>
      <c r="R44" s="81">
        <f t="shared" si="1"/>
        <v>36.47184553571428</v>
      </c>
    </row>
    <row r="45" spans="1:20" ht="15" customHeight="1">
      <c r="A45" s="47">
        <v>2020</v>
      </c>
      <c r="B45" s="48">
        <v>9442.4</v>
      </c>
      <c r="C45" s="49">
        <v>4608.5</v>
      </c>
      <c r="D45" s="50">
        <v>48.806447513344068</v>
      </c>
      <c r="E45" s="49">
        <v>9392</v>
      </c>
      <c r="F45" s="49">
        <v>23777</v>
      </c>
      <c r="G45" s="49">
        <v>223309</v>
      </c>
      <c r="H45" s="51">
        <v>18.100000000000001</v>
      </c>
      <c r="I45" s="52">
        <v>7.92</v>
      </c>
      <c r="J45" s="53">
        <v>2.31</v>
      </c>
      <c r="K45" s="49">
        <v>1300</v>
      </c>
      <c r="L45" s="54">
        <v>7182.3204419889498</v>
      </c>
      <c r="M45" s="55">
        <v>171.33</v>
      </c>
      <c r="N45" s="56">
        <v>60.61</v>
      </c>
      <c r="Q45" s="84">
        <f t="shared" si="0"/>
        <v>36088329464.285713</v>
      </c>
      <c r="R45" s="81">
        <f t="shared" si="1"/>
        <v>36.088329464285714</v>
      </c>
    </row>
    <row r="46" spans="1:20" ht="15" customHeight="1">
      <c r="A46" s="27">
        <v>2021</v>
      </c>
      <c r="B46" s="5">
        <v>9377</v>
      </c>
      <c r="C46" s="6">
        <v>4440.6000000000004</v>
      </c>
      <c r="D46" s="36">
        <v>47.356297323237719</v>
      </c>
      <c r="E46" s="6">
        <v>9449</v>
      </c>
      <c r="F46" s="6">
        <v>23949</v>
      </c>
      <c r="G46" s="6">
        <v>226293</v>
      </c>
      <c r="H46" s="12">
        <v>18.600000000000001</v>
      </c>
      <c r="I46" s="4">
        <v>10.568181818181818</v>
      </c>
      <c r="J46" s="37">
        <v>1.76</v>
      </c>
      <c r="K46" s="6">
        <v>1360</v>
      </c>
      <c r="L46" s="32">
        <v>7312</v>
      </c>
      <c r="M46" s="34">
        <v>199.5</v>
      </c>
      <c r="N46" s="14">
        <v>64.91</v>
      </c>
      <c r="Q46" s="84">
        <f t="shared" si="0"/>
        <v>37580801785.714294</v>
      </c>
      <c r="R46" s="81">
        <f t="shared" si="1"/>
        <v>37.580801785714293</v>
      </c>
    </row>
    <row r="47" spans="1:20" ht="15" customHeight="1">
      <c r="A47" s="28">
        <v>2022</v>
      </c>
      <c r="B47" s="9">
        <v>9402.5</v>
      </c>
      <c r="C47" s="10">
        <v>4337.2</v>
      </c>
      <c r="D47" s="42">
        <v>46.12815740494549</v>
      </c>
      <c r="E47" s="10">
        <v>9402</v>
      </c>
      <c r="F47" s="10">
        <v>24087</v>
      </c>
      <c r="G47" s="10">
        <v>226462</v>
      </c>
      <c r="H47" s="13">
        <v>25.6</v>
      </c>
      <c r="I47" s="11">
        <v>13.333333333333334</v>
      </c>
      <c r="J47" s="43">
        <v>1.92</v>
      </c>
      <c r="K47" s="10">
        <v>1598</v>
      </c>
      <c r="L47" s="18">
        <v>6211</v>
      </c>
      <c r="M47" s="44">
        <v>254.5</v>
      </c>
      <c r="N47" s="19">
        <v>78.44</v>
      </c>
      <c r="Q47" s="84">
        <f t="shared" si="0"/>
        <v>51762742857.14286</v>
      </c>
      <c r="R47" s="81">
        <f t="shared" si="1"/>
        <v>51.762742857142861</v>
      </c>
    </row>
    <row r="48" spans="1:20" ht="15" customHeight="1">
      <c r="A48" s="65" t="s">
        <v>26</v>
      </c>
      <c r="B48" s="66"/>
      <c r="C48" s="66"/>
      <c r="D48" s="66"/>
      <c r="E48" s="66"/>
      <c r="F48" s="66"/>
      <c r="G48" s="66"/>
      <c r="H48" s="66"/>
      <c r="I48" s="66"/>
      <c r="J48" s="66"/>
      <c r="K48" s="66"/>
      <c r="L48" s="66"/>
      <c r="M48" s="66"/>
      <c r="N48" s="66"/>
    </row>
    <row r="49" spans="1:14" ht="43.9" customHeight="1">
      <c r="A49" s="67" t="s">
        <v>27</v>
      </c>
      <c r="B49" s="66"/>
      <c r="C49" s="66"/>
      <c r="D49" s="66"/>
      <c r="E49" s="66"/>
      <c r="F49" s="66"/>
      <c r="G49" s="66"/>
      <c r="H49" s="66"/>
      <c r="I49" s="66"/>
      <c r="J49" s="66"/>
      <c r="K49" s="66"/>
      <c r="L49" s="66"/>
      <c r="M49" s="66"/>
      <c r="N49" s="66"/>
    </row>
    <row r="50" spans="1:14" ht="17.649999999999999" customHeight="1">
      <c r="A50" s="65" t="s">
        <v>28</v>
      </c>
      <c r="B50" s="66"/>
      <c r="C50" s="66"/>
      <c r="D50" s="66"/>
      <c r="E50" s="66"/>
      <c r="F50" s="66"/>
      <c r="G50" s="66"/>
      <c r="H50" s="66"/>
      <c r="I50" s="66"/>
      <c r="J50" s="66"/>
      <c r="K50" s="66"/>
      <c r="L50" s="66"/>
      <c r="M50" s="66"/>
      <c r="N50" s="66"/>
    </row>
    <row r="51" spans="1:14" ht="54.4" customHeight="1">
      <c r="A51" s="65" t="s">
        <v>29</v>
      </c>
      <c r="B51" s="66"/>
      <c r="C51" s="66"/>
      <c r="D51" s="66"/>
      <c r="E51" s="66"/>
      <c r="F51" s="66"/>
      <c r="G51" s="66"/>
      <c r="H51" s="66"/>
      <c r="I51" s="66"/>
      <c r="J51" s="66"/>
      <c r="K51" s="66"/>
      <c r="L51" s="66"/>
      <c r="M51" s="66"/>
      <c r="N51" s="66"/>
    </row>
    <row r="52" spans="1:14" ht="15" customHeight="1">
      <c r="A52" s="65" t="s">
        <v>30</v>
      </c>
      <c r="B52" s="66"/>
      <c r="C52" s="66"/>
      <c r="D52" s="66"/>
      <c r="E52" s="66"/>
      <c r="F52" s="66"/>
      <c r="G52" s="66"/>
      <c r="H52" s="66"/>
      <c r="I52" s="66"/>
      <c r="J52" s="66"/>
      <c r="K52" s="66"/>
      <c r="L52" s="66"/>
      <c r="M52" s="66"/>
      <c r="N52" s="66"/>
    </row>
    <row r="53" spans="1:14" ht="43.5" customHeight="1">
      <c r="A53" s="65" t="s">
        <v>31</v>
      </c>
      <c r="B53" s="66"/>
      <c r="C53" s="66"/>
      <c r="D53" s="66"/>
      <c r="E53" s="66"/>
      <c r="F53" s="66"/>
      <c r="G53" s="66"/>
      <c r="H53" s="66"/>
      <c r="I53" s="66"/>
      <c r="J53" s="66"/>
      <c r="K53" s="66"/>
      <c r="L53" s="66"/>
      <c r="M53" s="66"/>
      <c r="N53" s="66"/>
    </row>
    <row r="54" spans="1:14" ht="15" customHeight="1">
      <c r="A54" s="67" t="s">
        <v>17</v>
      </c>
      <c r="B54" s="66"/>
      <c r="C54" s="66"/>
      <c r="D54" s="66"/>
      <c r="E54" s="66"/>
      <c r="F54" s="66"/>
      <c r="G54" s="66"/>
      <c r="H54" s="66"/>
      <c r="I54" s="66"/>
      <c r="J54" s="66"/>
      <c r="K54" s="66"/>
      <c r="L54" s="66"/>
      <c r="M54" s="66"/>
      <c r="N54" s="66"/>
    </row>
    <row r="55" spans="1:14" ht="15" customHeight="1">
      <c r="A55" s="3" t="s">
        <v>18</v>
      </c>
      <c r="N55" s="57"/>
    </row>
  </sheetData>
  <mergeCells count="19">
    <mergeCell ref="A54:N54"/>
    <mergeCell ref="A2:A4"/>
    <mergeCell ref="H2:H3"/>
    <mergeCell ref="I2:I3"/>
    <mergeCell ref="J2:J3"/>
    <mergeCell ref="A53:N53"/>
    <mergeCell ref="M2:M3"/>
    <mergeCell ref="N2:N3"/>
    <mergeCell ref="A51:N51"/>
    <mergeCell ref="A49:N49"/>
    <mergeCell ref="A50:N50"/>
    <mergeCell ref="K2:L2"/>
    <mergeCell ref="B4:D4"/>
    <mergeCell ref="B2:D2"/>
    <mergeCell ref="E2:E3"/>
    <mergeCell ref="F2:F3"/>
    <mergeCell ref="G2:G3"/>
    <mergeCell ref="A52:N52"/>
    <mergeCell ref="A48:N48"/>
  </mergeCells>
  <phoneticPr fontId="0" type="noConversion"/>
  <printOptions horizontalCentered="1"/>
  <pageMargins left="0.5" right="0.5" top="0.5" bottom="0.5" header="0.5" footer="0.5"/>
  <pageSetup scale="97" orientation="landscape" r:id="rId1"/>
  <headerFooter alignWithMargins="0"/>
  <rowBreaks count="1" manualBreakCount="1">
    <brk id="24"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B10B88-9691-4DC5-94FF-32EEB29548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MPRDFAC</vt:lpstr>
      <vt:lpstr>OUTPUT</vt:lpstr>
      <vt:lpstr>MPRDFAC!Print_Area</vt:lpstr>
      <vt:lpstr>MPRDFAC!Print_Titles</vt:lpstr>
    </vt:vector>
  </TitlesOfParts>
  <Company>USDA, 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milk production and factors affecting supply</dc:title>
  <dc:subject>Agricultural Economics</dc:subject>
  <dc:creator>Angel Teran</dc:creator>
  <cp:keywords>milk production, milk cows, replacement heifers, milk price, milk-feed ratio, milk cow cost, alfalfa hay price, dairy slaughter price</cp:keywords>
  <cp:lastModifiedBy>Funes Leal, Victor Exequiel</cp:lastModifiedBy>
  <cp:lastPrinted>2014-09-15T20:59:30Z</cp:lastPrinted>
  <dcterms:created xsi:type="dcterms:W3CDTF">1998-04-16T19:30:28Z</dcterms:created>
  <dcterms:modified xsi:type="dcterms:W3CDTF">2024-01-18T18:13:41Z</dcterms:modified>
</cp:coreProperties>
</file>