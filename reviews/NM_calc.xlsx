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Box\Dairy_inbreeding\reviews\"/>
    </mc:Choice>
  </mc:AlternateContent>
  <xr:revisionPtr revIDLastSave="0" documentId="8_{14E16C4A-C927-45E5-980B-7156F28228E5}" xr6:coauthVersionLast="47" xr6:coauthVersionMax="47" xr10:uidLastSave="{00000000-0000-0000-0000-000000000000}"/>
  <bookViews>
    <workbookView xWindow="-28920" yWindow="-120" windowWidth="29040" windowHeight="15720" xr2:uid="{7B526C0F-EDA6-48EF-819A-FE49091E71F5}"/>
  </bookViews>
  <sheets>
    <sheet name="Table003 (Page 2)" sheetId="3" r:id="rId1"/>
    <sheet name="Table001 (Page 1)" sheetId="2" r:id="rId2"/>
    <sheet name="Sheet1" sheetId="1" r:id="rId3"/>
  </sheets>
  <definedNames>
    <definedName name="ExternalData_1" localSheetId="1" hidden="1">'Table001 (Page 1)'!$A$1:$I$13</definedName>
    <definedName name="ExternalData_2" localSheetId="0" hidden="1">'Table003 (Page 2)'!$A$1:$C$11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G3" i="3"/>
  <c r="G4" i="3"/>
  <c r="G7" i="3"/>
  <c r="G8" i="3"/>
  <c r="G9" i="3"/>
  <c r="G10" i="3"/>
  <c r="G11" i="3"/>
  <c r="G2" i="3"/>
  <c r="B6" i="3"/>
  <c r="G5" i="3" s="1"/>
  <c r="G6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B6F1BE-937D-4B9E-8740-4DDB1F752939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5F6E59EA-6367-45A7-B230-BCA3E9F842FF}" keepAlive="1" name="Query - Table003 (Page 2)" description="Connection to the 'Table003 (Page 2)' query in the workbook." type="5" refreshedVersion="8" background="1" saveData="1">
    <dbPr connection="Provider=Microsoft.Mashup.OleDb.1;Data Source=$Workbook$;Location=&quot;Table003 (Page 2)&quot;;Extended Properties=&quot;&quot;" command="SELECT * FROM [Table003 (Page 2)]"/>
  </connection>
</connections>
</file>

<file path=xl/sharedStrings.xml><?xml version="1.0" encoding="utf-8"?>
<sst xmlns="http://schemas.openxmlformats.org/spreadsheetml/2006/main" count="136" uniqueCount="75">
  <si>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</si>
  <si>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</si>
  <si>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</si>
  <si>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</si>
  <si>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</si>
  <si>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</si>
  <si>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</si>
  <si>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</si>
  <si>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</si>
  <si>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Standard</t>
  </si>
  <si>
    <t>Value ($/PTA unit)</t>
  </si>
  <si>
    <t>Relative value (%)</t>
  </si>
  <si>
    <t>Trait</t>
  </si>
  <si>
    <t>Units</t>
  </si>
  <si>
    <t>deviation
(SD)</t>
  </si>
  <si>
    <t>NM$</t>
  </si>
  <si>
    <t>CM$</t>
  </si>
  <si>
    <t>FM$</t>
  </si>
  <si>
    <t>Protein</t>
  </si>
  <si>
    <t>Pounds</t>
  </si>
  <si>
    <t>19</t>
  </si>
  <si>
    <t>3.41</t>
  </si>
  <si>
    <t>7.52</t>
  </si>
  <si>
    <t>0</t>
  </si>
  <si>
    <t>16</t>
  </si>
  <si>
    <t>25</t>
  </si>
  <si>
    <t>Fat</t>
  </si>
  <si>
    <t>27</t>
  </si>
  <si>
    <t>2.89</t>
  </si>
  <si>
    <t>13</t>
  </si>
  <si>
    <t>20</t>
  </si>
  <si>
    <t>Milk</t>
  </si>
  <si>
    <t>723</t>
  </si>
  <si>
    <t>0.001</t>
  </si>
  <si>
    <t>−0.119</t>
  </si>
  <si>
    <t>0.107</t>
  </si>
  <si>
    <t>−15</t>
  </si>
  <si>
    <t>PL</t>
  </si>
  <si>
    <t>Months</t>
  </si>
  <si>
    <t>2.5</t>
  </si>
  <si>
    <t>35</t>
  </si>
  <si>
    <t>22</t>
  </si>
  <si>
    <t>15</t>
  </si>
  <si>
    <t>SCS</t>
  </si>
  <si>
    <t>Log</t>
  </si>
  <si>
    <t>0.23</t>
  </si>
  <si>
    <t>−182</t>
  </si>
  <si>
    <t>−235</t>
  </si>
  <si>
    <t>−91</t>
  </si>
  <si>
    <t>−10</t>
  </si>
  <si>
    <t>−9</t>
  </si>
  <si>
    <t>−5</t>
  </si>
  <si>
    <t>Udder</t>
  </si>
  <si>
    <t>Composite</t>
  </si>
  <si>
    <t>0.90</t>
  </si>
  <si>
    <t>32</t>
  </si>
  <si>
    <t>7</t>
  </si>
  <si>
    <t>5</t>
  </si>
  <si>
    <t>Feet/legs</t>
  </si>
  <si>
    <t>1.03</t>
  </si>
  <si>
    <t>4</t>
  </si>
  <si>
    <t>3</t>
  </si>
  <si>
    <t>Body size</t>
  </si>
  <si>
    <t>−23</t>
  </si>
  <si>
    <t>−6</t>
  </si>
  <si>
    <t>−4</t>
  </si>
  <si>
    <t>DPR</t>
  </si>
  <si>
    <t>Percent</t>
  </si>
  <si>
    <t>1.70</t>
  </si>
  <si>
    <t>11</t>
  </si>
  <si>
    <t>8</t>
  </si>
  <si>
    <t>12</t>
  </si>
  <si>
    <t>CA$</t>
  </si>
  <si>
    <t>Dollars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</si>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</sst>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3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E37707E-8755-4342-BBA2-60D8DBD7858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DDF0AD-1169-4010-B339-1162F99CB271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05F221-F884-459A-B8B2-D63DE1D5A46E}" name="Table003__Page_2" displayName="Table003__Page_2" ref="A1:C11" tableType="queryTable" totalsRowShown="0">
  <autoFilter ref="A1:C11" xr:uid="{ED05F221-F884-459A-B8B2-D63DE1D5A46E}"/>
  <tableColumns count="3">
    <tableColumn id="1" xr3:uid="{8ECA4B17-63E9-4966-BF4E-C3DC75EA11AE}" uniqueName="1" name="Column1" queryTableFieldId="1" dataDxfId="1"/>
    <tableColumn id="2" xr3:uid="{DB459150-6358-4C4D-A3FA-FF7C76E62D8D}" uniqueName="2" name="Column2" queryTableFieldId="2" dataDxfId="0"/>
    <tableColumn id="3" xr3:uid="{81B096DA-D061-46F8-B701-92824A07D659}" uniqueName="3" name="Column3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49D8A9-1447-417B-A3BC-AA9608C193A5}" name="Table001__Page_1" displayName="Table001__Page_1" ref="A1:I13" tableType="queryTable" totalsRowShown="0">
  <autoFilter ref="A1:I13" xr:uid="{3249D8A9-1447-417B-A3BC-AA9608C193A5}"/>
  <tableColumns count="9">
    <tableColumn id="1" xr3:uid="{C95CE772-90F1-4CD9-8CE8-553F653DD986}" uniqueName="1" name="Column1" queryTableFieldId="1" dataDxfId="10"/>
    <tableColumn id="2" xr3:uid="{5AB70D36-1ED5-4B34-963D-9E63B89A8EF8}" uniqueName="2" name="Column2" queryTableFieldId="2" dataDxfId="9"/>
    <tableColumn id="3" xr3:uid="{77897ABF-9FF9-41F4-B654-BC56DEF143BD}" uniqueName="3" name="Column3" queryTableFieldId="3" dataDxfId="8"/>
    <tableColumn id="4" xr3:uid="{E9ADBC32-3B61-42BA-B2BB-2D57DE077985}" uniqueName="4" name="Column4" queryTableFieldId="4" dataDxfId="7"/>
    <tableColumn id="5" xr3:uid="{E87B5BE9-E6FF-48AB-9D72-92BC6264D48E}" uniqueName="5" name="Column5" queryTableFieldId="5" dataDxfId="6"/>
    <tableColumn id="6" xr3:uid="{AC32E007-93B5-407A-981B-8044DF49184C}" uniqueName="6" name="Column6" queryTableFieldId="6" dataDxfId="5"/>
    <tableColumn id="7" xr3:uid="{D4B598AC-A59D-4891-9583-277D134E491C}" uniqueName="7" name="Column7" queryTableFieldId="7" dataDxfId="4"/>
    <tableColumn id="8" xr3:uid="{CABCC47B-4199-4B6F-9504-719DF90415D3}" uniqueName="8" name="Column8" queryTableFieldId="8" dataDxfId="3"/>
    <tableColumn id="9" xr3:uid="{085BEC88-D1D6-48AB-9DE4-54E2F4486E5D}" uniqueName="9" name="Column9" queryTableFieldId="9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6C60-5EE5-43FC-B543-11AE6746054A}">
  <dimension ref="A1:G12"/>
  <sheetViews>
    <sheetView tabSelected="1" workbookViewId="0">
      <selection activeCell="G13" sqref="G13"/>
    </sheetView>
  </sheetViews>
  <sheetFormatPr defaultRowHeight="14.4" x14ac:dyDescent="0.3"/>
  <cols>
    <col min="1" max="3" width="11.109375" bestFit="1" customWidth="1"/>
  </cols>
  <sheetData>
    <row r="1" spans="1:7" x14ac:dyDescent="0.3">
      <c r="A1" t="s">
        <v>0</v>
      </c>
      <c r="B1" t="s">
        <v>1</v>
      </c>
      <c r="C1" t="s">
        <v>2</v>
      </c>
      <c r="E1" s="2" t="s">
        <v>12</v>
      </c>
      <c r="F1" s="3" t="s">
        <v>15</v>
      </c>
    </row>
    <row r="2" spans="1:7" x14ac:dyDescent="0.3">
      <c r="A2" s="4" t="s">
        <v>18</v>
      </c>
      <c r="B2" s="1">
        <v>70</v>
      </c>
      <c r="E2" s="4" t="s">
        <v>18</v>
      </c>
      <c r="F2" s="5">
        <v>3.41</v>
      </c>
      <c r="G2">
        <f>F2*Table003__Page_2[[#This Row],[Column2]]</f>
        <v>238.70000000000002</v>
      </c>
    </row>
    <row r="3" spans="1:7" x14ac:dyDescent="0.3">
      <c r="A3" s="1" t="s">
        <v>26</v>
      </c>
      <c r="B3" s="1">
        <v>80</v>
      </c>
      <c r="C3">
        <v>90</v>
      </c>
      <c r="E3" s="2" t="s">
        <v>26</v>
      </c>
      <c r="F3" s="3">
        <v>2.89</v>
      </c>
      <c r="G3">
        <f>F3*Table003__Page_2[[#This Row],[Column2]]</f>
        <v>231.20000000000002</v>
      </c>
    </row>
    <row r="4" spans="1:7" x14ac:dyDescent="0.3">
      <c r="A4" s="1" t="s">
        <v>31</v>
      </c>
      <c r="B4" s="6">
        <v>2000</v>
      </c>
      <c r="C4">
        <v>90</v>
      </c>
      <c r="E4" s="4" t="s">
        <v>31</v>
      </c>
      <c r="F4" s="5">
        <v>1E-3</v>
      </c>
      <c r="G4">
        <f>F4*Table003__Page_2[[#This Row],[Column2]]</f>
        <v>2</v>
      </c>
    </row>
    <row r="5" spans="1:7" x14ac:dyDescent="0.3">
      <c r="A5" s="1" t="s">
        <v>37</v>
      </c>
      <c r="B5" s="1">
        <v>2.5</v>
      </c>
      <c r="C5">
        <v>60</v>
      </c>
      <c r="E5" s="2" t="s">
        <v>37</v>
      </c>
      <c r="F5" s="3">
        <v>35</v>
      </c>
      <c r="G5">
        <f>F5*Table003__Page_2[[#This Row],[Column2]]</f>
        <v>87.5</v>
      </c>
    </row>
    <row r="6" spans="1:7" x14ac:dyDescent="0.3">
      <c r="A6" s="1" t="s">
        <v>43</v>
      </c>
      <c r="B6" s="1">
        <f>2.95 - 3</f>
        <v>-4.9999999999999822E-2</v>
      </c>
      <c r="C6">
        <v>75</v>
      </c>
      <c r="E6" s="4" t="s">
        <v>43</v>
      </c>
      <c r="F6" s="5">
        <v>-182</v>
      </c>
      <c r="G6">
        <f>F6*Table003__Page_2[[#This Row],[Column2]]</f>
        <v>9.0999999999999677</v>
      </c>
    </row>
    <row r="7" spans="1:7" x14ac:dyDescent="0.3">
      <c r="A7" s="1" t="s">
        <v>52</v>
      </c>
      <c r="B7" s="1">
        <v>1.5</v>
      </c>
      <c r="C7">
        <v>80</v>
      </c>
      <c r="E7" s="2" t="s">
        <v>52</v>
      </c>
      <c r="F7" s="3">
        <v>32</v>
      </c>
      <c r="G7">
        <f>F7*Table003__Page_2[[#This Row],[Column2]]</f>
        <v>48</v>
      </c>
    </row>
    <row r="8" spans="1:7" x14ac:dyDescent="0.3">
      <c r="A8" s="1" t="s">
        <v>58</v>
      </c>
      <c r="B8" s="1">
        <v>0.5</v>
      </c>
      <c r="C8">
        <v>75</v>
      </c>
      <c r="E8" s="4" t="s">
        <v>58</v>
      </c>
      <c r="F8" s="5">
        <v>15</v>
      </c>
      <c r="G8">
        <f>F8*Table003__Page_2[[#This Row],[Column2]]</f>
        <v>7.5</v>
      </c>
    </row>
    <row r="9" spans="1:7" x14ac:dyDescent="0.3">
      <c r="A9" s="1" t="s">
        <v>62</v>
      </c>
      <c r="B9" s="1">
        <v>-1</v>
      </c>
      <c r="C9">
        <v>85</v>
      </c>
      <c r="E9" s="2" t="s">
        <v>62</v>
      </c>
      <c r="F9" s="3">
        <v>-23</v>
      </c>
      <c r="G9">
        <f>F9*Table003__Page_2[[#This Row],[Column2]]</f>
        <v>23</v>
      </c>
    </row>
    <row r="10" spans="1:7" x14ac:dyDescent="0.3">
      <c r="A10" s="1" t="s">
        <v>66</v>
      </c>
      <c r="B10" s="1">
        <v>0.3</v>
      </c>
      <c r="C10">
        <v>55</v>
      </c>
      <c r="E10" s="4" t="s">
        <v>66</v>
      </c>
      <c r="F10" s="5">
        <v>27</v>
      </c>
      <c r="G10">
        <f>F10*Table003__Page_2[[#This Row],[Column2]]</f>
        <v>8.1</v>
      </c>
    </row>
    <row r="11" spans="1:7" x14ac:dyDescent="0.3">
      <c r="A11" s="1" t="s">
        <v>72</v>
      </c>
      <c r="B11" s="1">
        <v>30</v>
      </c>
      <c r="C11">
        <v>90</v>
      </c>
      <c r="E11" s="2" t="s">
        <v>72</v>
      </c>
      <c r="F11" s="3">
        <v>1</v>
      </c>
      <c r="G11">
        <f>F11*Table003__Page_2[[#This Row],[Column2]]</f>
        <v>30</v>
      </c>
    </row>
    <row r="12" spans="1:7" x14ac:dyDescent="0.3">
      <c r="G12">
        <f>SUM(G2:G11)</f>
        <v>685.10000000000014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2A10-82C9-4FD7-930D-ED9F9D647584}">
  <dimension ref="A1:I13"/>
  <sheetViews>
    <sheetView workbookViewId="0">
      <selection activeCell="A3" sqref="A3:D13"/>
    </sheetView>
  </sheetViews>
  <sheetFormatPr defaultRowHeight="14.4" x14ac:dyDescent="0.3"/>
  <cols>
    <col min="1" max="2" width="11.109375" bestFit="1" customWidth="1"/>
    <col min="3" max="3" width="13.44140625" bestFit="1" customWidth="1"/>
    <col min="4" max="4" width="11.109375" bestFit="1" customWidth="1"/>
    <col min="5" max="5" width="16.33203125" bestFit="1" customWidth="1"/>
    <col min="6" max="7" width="11.109375" bestFit="1" customWidth="1"/>
    <col min="8" max="8" width="16.109375" bestFit="1" customWidth="1"/>
    <col min="9" max="9" width="11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/>
      <c r="B2" s="1"/>
      <c r="C2" s="1" t="s">
        <v>9</v>
      </c>
      <c r="D2" s="1"/>
      <c r="E2" s="1" t="s">
        <v>10</v>
      </c>
      <c r="F2" s="1"/>
      <c r="G2" s="1"/>
      <c r="H2" s="1" t="s">
        <v>11</v>
      </c>
      <c r="I2" s="1"/>
    </row>
    <row r="3" spans="1:9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15</v>
      </c>
      <c r="H3" s="1" t="s">
        <v>16</v>
      </c>
      <c r="I3" s="1" t="s">
        <v>17</v>
      </c>
    </row>
    <row r="4" spans="1:9" x14ac:dyDescent="0.3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23</v>
      </c>
    </row>
    <row r="5" spans="1:9" x14ac:dyDescent="0.3">
      <c r="A5" s="1" t="s">
        <v>26</v>
      </c>
      <c r="B5" s="1" t="s">
        <v>19</v>
      </c>
      <c r="C5" s="1" t="s">
        <v>27</v>
      </c>
      <c r="D5" s="1" t="s">
        <v>28</v>
      </c>
      <c r="E5" s="1" t="s">
        <v>28</v>
      </c>
      <c r="F5" s="1" t="s">
        <v>28</v>
      </c>
      <c r="G5" s="1" t="s">
        <v>20</v>
      </c>
      <c r="H5" s="1" t="s">
        <v>29</v>
      </c>
      <c r="I5" s="1" t="s">
        <v>30</v>
      </c>
    </row>
    <row r="6" spans="1:9" x14ac:dyDescent="0.3">
      <c r="A6" s="1" t="s">
        <v>31</v>
      </c>
      <c r="B6" s="1" t="s">
        <v>19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23</v>
      </c>
      <c r="H6" s="1" t="s">
        <v>36</v>
      </c>
      <c r="I6" s="1" t="s">
        <v>20</v>
      </c>
    </row>
    <row r="7" spans="1:9" x14ac:dyDescent="0.3">
      <c r="A7" s="1" t="s">
        <v>37</v>
      </c>
      <c r="B7" s="1" t="s">
        <v>38</v>
      </c>
      <c r="C7" s="1" t="s">
        <v>39</v>
      </c>
      <c r="D7" s="1" t="s">
        <v>40</v>
      </c>
      <c r="E7" s="1" t="s">
        <v>40</v>
      </c>
      <c r="F7" s="1" t="s">
        <v>40</v>
      </c>
      <c r="G7" s="1" t="s">
        <v>41</v>
      </c>
      <c r="H7" s="1" t="s">
        <v>42</v>
      </c>
      <c r="I7" s="1" t="s">
        <v>41</v>
      </c>
    </row>
    <row r="8" spans="1:9" x14ac:dyDescent="0.3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51</v>
      </c>
    </row>
    <row r="9" spans="1:9" x14ac:dyDescent="0.3">
      <c r="A9" s="1" t="s">
        <v>52</v>
      </c>
      <c r="B9" s="1" t="s">
        <v>53</v>
      </c>
      <c r="C9" s="1" t="s">
        <v>54</v>
      </c>
      <c r="D9" s="1" t="s">
        <v>55</v>
      </c>
      <c r="E9" s="1" t="s">
        <v>55</v>
      </c>
      <c r="F9" s="1" t="s">
        <v>55</v>
      </c>
      <c r="G9" s="1" t="s">
        <v>56</v>
      </c>
      <c r="H9" s="1" t="s">
        <v>57</v>
      </c>
      <c r="I9" s="1" t="s">
        <v>56</v>
      </c>
    </row>
    <row r="10" spans="1:9" x14ac:dyDescent="0.3">
      <c r="A10" s="1" t="s">
        <v>58</v>
      </c>
      <c r="B10" s="1" t="s">
        <v>53</v>
      </c>
      <c r="C10" s="1" t="s">
        <v>59</v>
      </c>
      <c r="D10" s="1" t="s">
        <v>42</v>
      </c>
      <c r="E10" s="1" t="s">
        <v>42</v>
      </c>
      <c r="F10" s="1" t="s">
        <v>42</v>
      </c>
      <c r="G10" s="1" t="s">
        <v>60</v>
      </c>
      <c r="H10" s="1" t="s">
        <v>61</v>
      </c>
      <c r="I10" s="1" t="s">
        <v>60</v>
      </c>
    </row>
    <row r="11" spans="1:9" x14ac:dyDescent="0.3">
      <c r="A11" s="1" t="s">
        <v>62</v>
      </c>
      <c r="B11" s="1" t="s">
        <v>53</v>
      </c>
      <c r="C11" s="1" t="s">
        <v>59</v>
      </c>
      <c r="D11" s="1" t="s">
        <v>63</v>
      </c>
      <c r="E11" s="1" t="s">
        <v>63</v>
      </c>
      <c r="F11" s="1" t="s">
        <v>63</v>
      </c>
      <c r="G11" s="1" t="s">
        <v>64</v>
      </c>
      <c r="H11" s="1" t="s">
        <v>65</v>
      </c>
      <c r="I11" s="1" t="s">
        <v>64</v>
      </c>
    </row>
    <row r="12" spans="1:9" x14ac:dyDescent="0.3">
      <c r="A12" s="1" t="s">
        <v>66</v>
      </c>
      <c r="B12" s="1" t="s">
        <v>67</v>
      </c>
      <c r="C12" s="1" t="s">
        <v>68</v>
      </c>
      <c r="D12" s="1" t="s">
        <v>27</v>
      </c>
      <c r="E12" s="1" t="s">
        <v>27</v>
      </c>
      <c r="F12" s="1" t="s">
        <v>27</v>
      </c>
      <c r="G12" s="1" t="s">
        <v>69</v>
      </c>
      <c r="H12" s="1" t="s">
        <v>70</v>
      </c>
      <c r="I12" s="1" t="s">
        <v>71</v>
      </c>
    </row>
    <row r="13" spans="1:9" x14ac:dyDescent="0.3">
      <c r="A13" s="1" t="s">
        <v>72</v>
      </c>
      <c r="B13" s="1" t="s">
        <v>73</v>
      </c>
      <c r="C13" s="1" t="s">
        <v>30</v>
      </c>
      <c r="D13" s="1" t="s">
        <v>74</v>
      </c>
      <c r="E13" s="1" t="s">
        <v>74</v>
      </c>
      <c r="F13" s="1" t="s">
        <v>74</v>
      </c>
      <c r="G13" s="1" t="s">
        <v>57</v>
      </c>
      <c r="H13" s="1" t="s">
        <v>61</v>
      </c>
      <c r="I13" s="1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E8105-33A6-47A0-A867-B5587D9BB88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33989B-2EA4-45C7-AE46-50A0AEC9E6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Table003 (Page 2)</vt:lpstr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Exequiel Funes-Leal</dc:creator>
  <cp:lastModifiedBy>Victor Exequiel Funes-Leal</cp:lastModifiedBy>
  <dcterms:created xsi:type="dcterms:W3CDTF">2025-12-04T15:22:32Z</dcterms:created>
  <dcterms:modified xsi:type="dcterms:W3CDTF">2025-12-04T16:32:00Z</dcterms:modified>
</cp:coreProperties>
</file>