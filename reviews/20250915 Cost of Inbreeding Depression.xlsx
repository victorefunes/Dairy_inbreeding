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le/Documents/CDCB/Research/Inbreeding/"/>
    </mc:Choice>
  </mc:AlternateContent>
  <xr:revisionPtr revIDLastSave="0" documentId="13_ncr:1_{EFC08550-6507-9942-A339-842E1DBA9D6C}" xr6:coauthVersionLast="47" xr6:coauthVersionMax="47" xr10:uidLastSave="{00000000-0000-0000-0000-000000000000}"/>
  <bookViews>
    <workbookView xWindow="30240" yWindow="500" windowWidth="32000" windowHeight="17500" xr2:uid="{BD4AFAB7-4CFF-1B47-AC22-850AC0485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" i="1" l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4" i="1" l="1"/>
</calcChain>
</file>

<file path=xl/sharedStrings.xml><?xml version="1.0" encoding="utf-8"?>
<sst xmlns="http://schemas.openxmlformats.org/spreadsheetml/2006/main" count="49" uniqueCount="30">
  <si>
    <t>Heterosis</t>
  </si>
  <si>
    <t>Inbreeding</t>
  </si>
  <si>
    <t>Mlk</t>
  </si>
  <si>
    <t>Fat</t>
  </si>
  <si>
    <t>Pro</t>
  </si>
  <si>
    <t>PL</t>
  </si>
  <si>
    <t>SCS</t>
  </si>
  <si>
    <t>DPR</t>
  </si>
  <si>
    <t>HCR</t>
  </si>
  <si>
    <t>CCR</t>
  </si>
  <si>
    <t>LIV</t>
  </si>
  <si>
    <t>GL</t>
  </si>
  <si>
    <t>MFV</t>
  </si>
  <si>
    <t>DAB</t>
  </si>
  <si>
    <t>KET</t>
  </si>
  <si>
    <t>MAS</t>
  </si>
  <si>
    <t>MET</t>
  </si>
  <si>
    <t>RPL</t>
  </si>
  <si>
    <t>EFC</t>
  </si>
  <si>
    <t>HLV</t>
  </si>
  <si>
    <t>MSPD</t>
  </si>
  <si>
    <t>Inbreeding regressions from "BREED MEANS, BASES, HETEROSIS, AND INBREEDING REGRESSIONS" on CDCB WebConnect at: https://webconnect.uscdcb.com/#/summary-stats/breed-means-bases-heterosis-inbreeding-regressions</t>
  </si>
  <si>
    <t>Accessed September 15, 2025</t>
  </si>
  <si>
    <t>Trait values per unit of PTA from VanRaden et al. (2025), "Net merit as a measure of lifetime profit: 2025 revision", at: https://web.archive.org/web/20250424232424/https://www.ars.usda.gov/ARSUserFiles/80420530/Publications/ARR/nmcalc-2025_ARR-NM9_without%20type_composites_updated.pdf.</t>
  </si>
  <si>
    <t>Note: GL and MSPD are NOT included in Nmet Merit, so their value is set to 0.</t>
  </si>
  <si>
    <t>Value ($/PTA unit)</t>
  </si>
  <si>
    <t>Note: The health traits (MFV, DAB, KET, MAS, MET, RPL) are grouped together into HTH$, but each trait has its own value as described in the document listed above.</t>
  </si>
  <si>
    <t>Value of inbreeding depression/trait</t>
  </si>
  <si>
    <t>Economic value of a 1% increase in inbreeding (losses due to inbreeding depression)</t>
  </si>
  <si>
    <t>Prepared by John B. Cole (john.cole@uscdcb.com) on Sep.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</si>
</sst>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11101F"/>
      <name val="KumbhSans-Regular"/>
    </font>
    <font>
      <sz val="12"/>
      <color rgb="FF212529"/>
      <name val="KumbhSans-Regular"/>
    </font>
    <font>
      <sz val="12"/>
      <color rgb="FF212529"/>
      <name val="KumbhSans-Regula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1CD5-29BD-4847-B464-69A74C0655EE}">
  <dimension ref="A1:T20"/>
  <sheetViews>
    <sheetView tabSelected="1" zoomScale="125" workbookViewId="0">
      <selection activeCell="A4" sqref="A4"/>
    </sheetView>
  </sheetViews>
  <sheetFormatPr baseColWidth="10" defaultRowHeight="16"/>
  <cols>
    <col min="1" max="1" width="20.1640625" customWidth="1"/>
  </cols>
  <sheetData>
    <row r="1" spans="1:20">
      <c r="A1" t="s">
        <v>29</v>
      </c>
    </row>
    <row r="3" spans="1:20">
      <c r="A3" s="5" t="s">
        <v>28</v>
      </c>
    </row>
    <row r="4" spans="1:20">
      <c r="A4" s="6">
        <f>SUM(B20:T20)</f>
        <v>-40.110099999999989</v>
      </c>
    </row>
    <row r="6" spans="1:20">
      <c r="A6" t="s">
        <v>21</v>
      </c>
      <c r="C6" s="2"/>
    </row>
    <row r="7" spans="1:20">
      <c r="A7" t="s">
        <v>22</v>
      </c>
      <c r="C7" s="2"/>
    </row>
    <row r="8" spans="1:20" ht="18">
      <c r="B8" s="3"/>
    </row>
    <row r="9" spans="1:20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17</v>
      </c>
      <c r="R9" s="1" t="s">
        <v>18</v>
      </c>
      <c r="S9" s="1" t="s">
        <v>19</v>
      </c>
      <c r="T9" s="1" t="s">
        <v>20</v>
      </c>
    </row>
    <row r="10" spans="1:20">
      <c r="A10" s="2" t="s">
        <v>0</v>
      </c>
      <c r="B10" s="2">
        <v>-155</v>
      </c>
      <c r="C10" s="2">
        <v>13</v>
      </c>
      <c r="D10" s="2">
        <v>4</v>
      </c>
      <c r="E10" s="2">
        <v>0.19</v>
      </c>
      <c r="F10" s="2">
        <v>0.04</v>
      </c>
      <c r="G10" s="2">
        <v>1.2</v>
      </c>
      <c r="H10" s="2">
        <v>0.67</v>
      </c>
      <c r="I10" s="2">
        <v>0.91</v>
      </c>
      <c r="J10" s="2">
        <v>0.02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2.11</v>
      </c>
      <c r="S10" s="2">
        <v>0.32</v>
      </c>
      <c r="T10" s="2">
        <v>0</v>
      </c>
    </row>
    <row r="11" spans="1:20">
      <c r="A11" s="2" t="s">
        <v>1</v>
      </c>
      <c r="B11" s="2">
        <v>-74</v>
      </c>
      <c r="C11" s="2">
        <v>-2.79</v>
      </c>
      <c r="D11" s="2">
        <v>-2.13</v>
      </c>
      <c r="E11" s="2">
        <v>-0.28000000000000003</v>
      </c>
      <c r="F11" s="2">
        <v>0.01</v>
      </c>
      <c r="G11" s="2">
        <v>-0.23</v>
      </c>
      <c r="H11" s="2">
        <v>-0.23</v>
      </c>
      <c r="I11" s="2">
        <v>-0.33</v>
      </c>
      <c r="J11" s="2">
        <v>-0.11</v>
      </c>
      <c r="K11" s="2">
        <v>0</v>
      </c>
      <c r="L11" s="2">
        <v>-0.01</v>
      </c>
      <c r="M11" s="2">
        <v>0.01</v>
      </c>
      <c r="N11" s="2">
        <v>0.01</v>
      </c>
      <c r="O11" s="2">
        <v>-0.02</v>
      </c>
      <c r="P11" s="2">
        <v>-0.09</v>
      </c>
      <c r="Q11" s="2">
        <v>-0.02</v>
      </c>
      <c r="R11" s="2">
        <v>-0.64</v>
      </c>
      <c r="S11" s="2">
        <v>-0.23</v>
      </c>
      <c r="T11" s="2">
        <v>0</v>
      </c>
    </row>
    <row r="13" spans="1:20">
      <c r="A13" t="s">
        <v>23</v>
      </c>
    </row>
    <row r="14" spans="1:20">
      <c r="A14" t="s">
        <v>24</v>
      </c>
    </row>
    <row r="15" spans="1:20">
      <c r="A15" t="s">
        <v>26</v>
      </c>
    </row>
    <row r="17" spans="1:20"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N17" s="1" t="s">
        <v>14</v>
      </c>
      <c r="O17" s="1" t="s">
        <v>15</v>
      </c>
      <c r="P17" s="1" t="s">
        <v>16</v>
      </c>
      <c r="Q17" s="1" t="s">
        <v>17</v>
      </c>
      <c r="R17" s="1" t="s">
        <v>18</v>
      </c>
      <c r="S17" s="1" t="s">
        <v>19</v>
      </c>
      <c r="T17" s="1" t="s">
        <v>20</v>
      </c>
    </row>
    <row r="18" spans="1:20">
      <c r="A18" t="s">
        <v>25</v>
      </c>
      <c r="B18" s="6">
        <v>2.1999999999999999E-2</v>
      </c>
      <c r="C18" s="6">
        <v>5.01</v>
      </c>
      <c r="D18" s="6">
        <v>3.33</v>
      </c>
      <c r="E18" s="6">
        <v>30</v>
      </c>
      <c r="F18" s="6">
        <v>-74</v>
      </c>
      <c r="G18" s="6">
        <v>6</v>
      </c>
      <c r="H18" s="6">
        <v>1.5</v>
      </c>
      <c r="I18" s="6">
        <v>4.3</v>
      </c>
      <c r="J18" s="6">
        <v>14.3</v>
      </c>
      <c r="K18" s="6">
        <v>0</v>
      </c>
      <c r="L18" s="6">
        <v>1.19</v>
      </c>
      <c r="M18" s="6">
        <v>6.91</v>
      </c>
      <c r="N18" s="6">
        <v>0.97</v>
      </c>
      <c r="O18" s="6">
        <v>2.65</v>
      </c>
      <c r="P18" s="6">
        <v>3.94</v>
      </c>
      <c r="Q18" s="6">
        <v>2.38</v>
      </c>
      <c r="R18" s="6">
        <v>2</v>
      </c>
      <c r="S18" s="6">
        <v>8.1999999999999993</v>
      </c>
      <c r="T18" s="6">
        <v>0</v>
      </c>
    </row>
    <row r="20" spans="1:20" ht="34">
      <c r="A20" s="4" t="s">
        <v>27</v>
      </c>
      <c r="B20" s="6">
        <f>B11*B18</f>
        <v>-1.6279999999999999</v>
      </c>
      <c r="C20" s="6">
        <f t="shared" ref="C20:T20" si="0">C11*C18</f>
        <v>-13.9779</v>
      </c>
      <c r="D20" s="6">
        <f t="shared" si="0"/>
        <v>-7.0929000000000002</v>
      </c>
      <c r="E20" s="6">
        <f t="shared" si="0"/>
        <v>-8.4</v>
      </c>
      <c r="F20" s="6">
        <f t="shared" si="0"/>
        <v>-0.74</v>
      </c>
      <c r="G20" s="6">
        <f t="shared" si="0"/>
        <v>-1.3800000000000001</v>
      </c>
      <c r="H20" s="6">
        <f t="shared" si="0"/>
        <v>-0.34500000000000003</v>
      </c>
      <c r="I20" s="6">
        <f t="shared" si="0"/>
        <v>-1.419</v>
      </c>
      <c r="J20" s="6">
        <f t="shared" si="0"/>
        <v>-1.5730000000000002</v>
      </c>
      <c r="K20" s="6">
        <f t="shared" si="0"/>
        <v>0</v>
      </c>
      <c r="L20" s="6">
        <f t="shared" si="0"/>
        <v>-1.1899999999999999E-2</v>
      </c>
      <c r="M20" s="6">
        <f t="shared" si="0"/>
        <v>6.9100000000000009E-2</v>
      </c>
      <c r="N20" s="6">
        <f t="shared" si="0"/>
        <v>9.7000000000000003E-3</v>
      </c>
      <c r="O20" s="6">
        <f t="shared" si="0"/>
        <v>-5.2999999999999999E-2</v>
      </c>
      <c r="P20" s="6">
        <f t="shared" si="0"/>
        <v>-0.35459999999999997</v>
      </c>
      <c r="Q20" s="6">
        <f t="shared" si="0"/>
        <v>-4.7599999999999996E-2</v>
      </c>
      <c r="R20" s="6">
        <f t="shared" si="0"/>
        <v>-1.28</v>
      </c>
      <c r="S20" s="6">
        <f t="shared" si="0"/>
        <v>-1.8859999999999999</v>
      </c>
      <c r="T20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Cole</dc:creator>
  <cp:lastModifiedBy>John Cole</cp:lastModifiedBy>
  <dcterms:created xsi:type="dcterms:W3CDTF">2025-09-15T13:35:45Z</dcterms:created>
  <dcterms:modified xsi:type="dcterms:W3CDTF">2025-09-15T13:55:40Z</dcterms:modified>
</cp:coreProperties>
</file>